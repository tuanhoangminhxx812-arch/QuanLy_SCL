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ty ĐL VungTau\1. TCKT_PCVT\4. Công nghệ AI\KT SCL\"/>
    </mc:Choice>
  </mc:AlternateContent>
  <xr:revisionPtr revIDLastSave="0" documentId="8_{048EDC57-63E5-4FCD-93CD-BF73E9B71E53}" xr6:coauthVersionLast="47" xr6:coauthVersionMax="47" xr10:uidLastSave="{00000000-0000-0000-0000-000000000000}"/>
  <bookViews>
    <workbookView xWindow="-108" yWindow="-108" windowWidth="30936" windowHeight="16776" xr2:uid="{EE43B5A0-DFC3-4CB9-818D-43988C9A1E2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H4" i="1"/>
  <c r="J4" i="1"/>
  <c r="K4" i="1"/>
  <c r="M4" i="1"/>
  <c r="O4" i="1"/>
  <c r="Q4" i="1"/>
  <c r="S4" i="1"/>
  <c r="U4" i="1"/>
  <c r="W4" i="1"/>
  <c r="Z4" i="1"/>
  <c r="AB4" i="1"/>
  <c r="AC4" i="1"/>
  <c r="AD4" i="1"/>
  <c r="AE4" i="1"/>
  <c r="AG4" i="1"/>
  <c r="D6" i="1"/>
  <c r="H6" i="1"/>
  <c r="J6" i="1"/>
  <c r="K6" i="1"/>
  <c r="M6" i="1"/>
  <c r="O6" i="1"/>
  <c r="Q6" i="1"/>
  <c r="S6" i="1"/>
  <c r="U6" i="1"/>
  <c r="W6" i="1"/>
  <c r="Z6" i="1"/>
  <c r="AB6" i="1"/>
  <c r="AC6" i="1"/>
  <c r="AD6" i="1"/>
  <c r="AE6" i="1"/>
  <c r="AG6" i="1"/>
  <c r="D9" i="1"/>
  <c r="H9" i="1"/>
  <c r="J9" i="1"/>
  <c r="K9" i="1"/>
  <c r="M9" i="1"/>
  <c r="O9" i="1"/>
  <c r="Q9" i="1"/>
  <c r="S9" i="1"/>
  <c r="U9" i="1"/>
  <c r="W9" i="1"/>
  <c r="Z9" i="1"/>
  <c r="AB9" i="1"/>
  <c r="AC9" i="1"/>
  <c r="AD9" i="1"/>
  <c r="AE9" i="1"/>
  <c r="AG9" i="1"/>
  <c r="D11" i="1"/>
  <c r="H11" i="1"/>
  <c r="J11" i="1"/>
  <c r="K11" i="1"/>
  <c r="M11" i="1"/>
  <c r="O11" i="1"/>
  <c r="Q11" i="1"/>
  <c r="S11" i="1"/>
  <c r="U11" i="1"/>
  <c r="W11" i="1"/>
  <c r="Z11" i="1"/>
  <c r="AB11" i="1"/>
  <c r="AC11" i="1"/>
  <c r="AD11" i="1"/>
  <c r="AE11" i="1"/>
  <c r="AG11" i="1"/>
  <c r="D13" i="1"/>
  <c r="H13" i="1"/>
  <c r="J13" i="1"/>
  <c r="K13" i="1"/>
  <c r="M13" i="1"/>
  <c r="O13" i="1"/>
  <c r="Q13" i="1"/>
  <c r="S13" i="1"/>
  <c r="U13" i="1"/>
  <c r="W13" i="1"/>
  <c r="Z13" i="1"/>
  <c r="AB13" i="1"/>
  <c r="AC13" i="1"/>
  <c r="AD13" i="1"/>
  <c r="AE13" i="1"/>
  <c r="AG13" i="1"/>
  <c r="D16" i="1"/>
  <c r="H16" i="1"/>
  <c r="J16" i="1"/>
  <c r="K16" i="1"/>
  <c r="M16" i="1"/>
  <c r="O16" i="1"/>
  <c r="Q16" i="1"/>
  <c r="S16" i="1"/>
  <c r="U16" i="1"/>
  <c r="W16" i="1"/>
  <c r="AB16" i="1"/>
  <c r="AC16" i="1"/>
  <c r="AD16" i="1"/>
  <c r="AE16" i="1"/>
  <c r="AG16" i="1"/>
</calcChain>
</file>

<file path=xl/sharedStrings.xml><?xml version="1.0" encoding="utf-8"?>
<sst xmlns="http://schemas.openxmlformats.org/spreadsheetml/2006/main" count="104" uniqueCount="76">
  <si>
    <t>STT</t>
  </si>
  <si>
    <t>Mã công trình</t>
  </si>
  <si>
    <t>Tên công trình</t>
  </si>
  <si>
    <t>Nội dung</t>
  </si>
  <si>
    <t>Mã TS</t>
  </si>
  <si>
    <t>Tiến độ thực hiện</t>
  </si>
  <si>
    <t>PAKT-DT</t>
  </si>
  <si>
    <t xml:space="preserve"> Kế hoạch đầu thầu</t>
  </si>
  <si>
    <t>Kết quả đấu thầu</t>
  </si>
  <si>
    <t>Đơn vị thi công</t>
  </si>
  <si>
    <t>Ngày khởi công</t>
  </si>
  <si>
    <t>Vật tư</t>
  </si>
  <si>
    <t>Khối lượng thực hiện</t>
  </si>
  <si>
    <t>Khối lượng thanh toán</t>
  </si>
  <si>
    <t>Ngày nghiệm thu</t>
  </si>
  <si>
    <t>Ghi chú</t>
  </si>
  <si>
    <t>Gói thầu XL</t>
  </si>
  <si>
    <t>Gói thầu TB</t>
  </si>
  <si>
    <t>Số QĐ, ngày duyệt</t>
  </si>
  <si>
    <t>Tỉ lệ, %</t>
  </si>
  <si>
    <t>Đơn vị</t>
  </si>
  <si>
    <t>Giá trị khái toán</t>
  </si>
  <si>
    <t>Giá trị DT</t>
  </si>
  <si>
    <t>Giá trị vốn KH</t>
  </si>
  <si>
    <t>GT gói thầu XL</t>
  </si>
  <si>
    <t>GT gói thầu TB</t>
  </si>
  <si>
    <t>Giá trị hợp đồng</t>
  </si>
  <si>
    <t>TCty cấp</t>
  </si>
  <si>
    <t>ĐV cấp</t>
  </si>
  <si>
    <t>Giá trị</t>
  </si>
  <si>
    <t>Giá trị quyết toán</t>
  </si>
  <si>
    <t>Số hợp đồng, ngày ký</t>
  </si>
  <si>
    <t>Công ty Điện lực Vũng Tàu</t>
  </si>
  <si>
    <t>Lưới và trạm điện</t>
  </si>
  <si>
    <t>VTAD2605001</t>
  </si>
  <si>
    <t xml:space="preserve">Sửa chữa lớn đường dây trung, hạ thế và trạm biến áp năm 2026 </t>
  </si>
  <si>
    <t/>
  </si>
  <si>
    <t xml:space="preserve">111/QĐ_PCVT, ngày 29/03/2026
</t>
  </si>
  <si>
    <t>115/QĐ-PCVT, ngày 09/03/2026</t>
  </si>
  <si>
    <t>1292/TM-PCVT, ngày 26/03/2026</t>
  </si>
  <si>
    <t>11-2026/HĐXL/LDLTQV-PCVT, ngày 27/03/2026</t>
  </si>
  <si>
    <t xml:space="preserve"> LIÊN DANH CÔNG TY TNHH LẠC THÀNH VÀ CÔNG TY CỔ PHẦN DỊCH VỤ XÂY DỰNG QUANG VŨ
</t>
  </si>
  <si>
    <t>28/03/2026</t>
  </si>
  <si>
    <t>Thiết bị</t>
  </si>
  <si>
    <t>VTAD2606001</t>
  </si>
  <si>
    <t>Sửa chữa lớn TSCĐ hệ thống đo đếm trên địa bàn Công ty Điện lực Vũng Tàu năm 2026 - Phần bảo trì TU, TI</t>
  </si>
  <si>
    <t xml:space="preserve">01/PAKT-QLHTĐĐ, ngày 15/10/2025
</t>
  </si>
  <si>
    <t>07/QĐ-PCVT, ngày 09/01/2026</t>
  </si>
  <si>
    <t>27/01/2026</t>
  </si>
  <si>
    <t>VTAD2606002</t>
  </si>
  <si>
    <t>Sửa chữa lớn TSCĐ thay thế LBFCO, FCO, LA… ngăn ngừa sự cố năm 2026</t>
  </si>
  <si>
    <t xml:space="preserve">129/QĐ-PCVT, ngày 12/03/2026
</t>
  </si>
  <si>
    <t>161/QĐ-PCVT, ngày 24/03/2026</t>
  </si>
  <si>
    <t>166/QĐ-PCVT, ngày 26/03/2026</t>
  </si>
  <si>
    <t>1313/HĐ-PCVT, ngày 28/03/2026</t>
  </si>
  <si>
    <t xml:space="preserve"> CHI NHÁNH TỔNG CÔNG TY ĐIỆN LỰC TPHCM TNHH – CÔNG TY DỊCH VỤ ĐIỆN LỰC TPHCM
</t>
  </si>
  <si>
    <t>29/03/2026</t>
  </si>
  <si>
    <t>Kiến trúc</t>
  </si>
  <si>
    <t>VTAD2607001</t>
  </si>
  <si>
    <t>Sửa chữa nhà đặt máy phát điện, nhà máy An Hội, Đặc khu Côn Đảo</t>
  </si>
  <si>
    <t>Công xa</t>
  </si>
  <si>
    <t>VTAD2608001</t>
  </si>
  <si>
    <t>Sửa chữa lớn công xa Công ty Điện lực Vũng Tàu năm 2026</t>
  </si>
  <si>
    <t xml:space="preserve">127/QĐ-PCVT, ngày 30/03/2026
</t>
  </si>
  <si>
    <t>Sửa chữa khác</t>
  </si>
  <si>
    <t>VTAD2610001</t>
  </si>
  <si>
    <t>Sửa chữa lớn máy phát điện Cummins G1, G2 nhà máy điện An hội năm 2026</t>
  </si>
  <si>
    <t>Cung cấp vật tư phụ tùng thi công, sửa chữa các và mua bảo hiểm công trình</t>
  </si>
  <si>
    <t xml:space="preserve">108/QĐ-PCVT, ngày 30/03/2026
</t>
  </si>
  <si>
    <t>118/QĐ-PCVT, ngày 09/03/2026</t>
  </si>
  <si>
    <t>VTAD2610002</t>
  </si>
  <si>
    <t>Sửa chữa lớn hệ thống điện bằng biện pháp Live-Line năm 2026</t>
  </si>
  <si>
    <t xml:space="preserve">128/QĐ-PCVT, ngày 13/03/2026
</t>
  </si>
  <si>
    <t>160/QĐ-PCVT, ngày 25/03/2026</t>
  </si>
  <si>
    <t>1314/HĐ-PCVT, ngày 28/03/2026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</si>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</sst>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5" formatCode="_(* #,##0_);_(* \(#,##0\);_(* &quot;-&quot;??_);_(@_)"/>
  </numFmts>
  <fonts count="2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3"/>
      <color indexed="8"/>
      <name val="Times New Roman"/>
      <family val="1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indexed="8"/>
      <name val="Times New Roman"/>
      <family val="1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5700"/>
      <name val="Calibri"/>
      <family val="2"/>
    </font>
    <font>
      <b/>
      <sz val="11"/>
      <color rgb="FF3F3F3F"/>
      <name val="Calibri"/>
      <family val="2"/>
    </font>
    <font>
      <sz val="18"/>
      <color theme="3"/>
      <name val="Calibri Light"/>
      <family val="2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1" fillId="28" borderId="0" applyNumberFormat="0" applyBorder="0" applyAlignment="0" applyProtection="0"/>
    <xf numFmtId="0" fontId="12" fillId="29" borderId="8" applyNumberFormat="0" applyAlignment="0" applyProtection="0"/>
    <xf numFmtId="0" fontId="4" fillId="30" borderId="9" applyNumberFormat="0" applyAlignment="0" applyProtection="0"/>
    <xf numFmtId="171" fontId="1" fillId="0" borderId="0" applyFill="0" applyBorder="0" applyAlignment="0" applyProtection="0"/>
    <xf numFmtId="0" fontId="13" fillId="0" borderId="0" applyNumberFormat="0" applyFill="0" applyBorder="0" applyAlignment="0" applyProtection="0"/>
    <xf numFmtId="0" fontId="14" fillId="31" borderId="0" applyNumberFormat="0" applyBorder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8" applyNumberFormat="0" applyAlignment="0" applyProtection="0"/>
    <xf numFmtId="0" fontId="19" fillId="0" borderId="13" applyNumberFormat="0" applyFill="0" applyAlignment="0" applyProtection="0"/>
    <xf numFmtId="0" fontId="20" fillId="32" borderId="0" applyNumberFormat="0" applyBorder="0" applyAlignment="0" applyProtection="0"/>
    <xf numFmtId="0" fontId="1" fillId="3" borderId="14" applyNumberFormat="0" applyAlignment="0" applyProtection="0"/>
    <xf numFmtId="0" fontId="21" fillId="29" borderId="15" applyNumberFormat="0" applyAlignment="0" applyProtection="0"/>
    <xf numFmtId="0" fontId="22" fillId="0" borderId="0" applyNumberFormat="0" applyFill="0" applyBorder="0" applyAlignment="0" applyProtection="0"/>
    <xf numFmtId="0" fontId="5" fillId="0" borderId="16" applyNumberFormat="0" applyFill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175" fontId="10" fillId="0" borderId="2" xfId="28" applyNumberFormat="1" applyFont="1" applyFill="1" applyBorder="1" applyAlignment="1">
      <alignment horizontal="right" vertical="center" wrapText="1"/>
    </xf>
    <xf numFmtId="175" fontId="10" fillId="0" borderId="1" xfId="28" applyNumberFormat="1" applyFont="1" applyFill="1" applyBorder="1" applyAlignment="1">
      <alignment horizontal="right" vertical="center" wrapText="1"/>
    </xf>
    <xf numFmtId="171" fontId="10" fillId="0" borderId="2" xfId="28" applyFont="1" applyFill="1" applyBorder="1" applyAlignment="1">
      <alignment horizontal="right" vertical="center" wrapText="1"/>
    </xf>
    <xf numFmtId="3" fontId="2" fillId="0" borderId="3" xfId="28" applyNumberFormat="1" applyFont="1" applyFill="1" applyBorder="1" applyAlignment="1"/>
    <xf numFmtId="0" fontId="9" fillId="0" borderId="3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left" vertical="center" wrapText="1"/>
    </xf>
    <xf numFmtId="3" fontId="2" fillId="0" borderId="3" xfId="28" applyNumberFormat="1" applyFont="1" applyFill="1" applyBorder="1" applyAlignmen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6CB7-0B7C-4954-9102-6CB98AC97D83}">
  <sheetPr>
    <pageSetUpPr fitToPage="1"/>
  </sheetPr>
  <dimension ref="A1:AH16"/>
  <sheetViews>
    <sheetView tabSelected="1" topLeftCell="I1" zoomScale="70" zoomScaleNormal="70" workbookViewId="0">
      <selection activeCell="V8" sqref="V8"/>
    </sheetView>
  </sheetViews>
  <sheetFormatPr defaultColWidth="9.109375" defaultRowHeight="16.8" x14ac:dyDescent="0.3"/>
  <cols>
    <col min="1" max="1" width="6.6640625" style="1" customWidth="1"/>
    <col min="2" max="2" width="20" style="1" customWidth="1"/>
    <col min="3" max="3" width="18.33203125" style="1" customWidth="1"/>
    <col min="4" max="4" width="39" style="1" customWidth="1"/>
    <col min="5" max="5" width="42.6640625" style="1" customWidth="1"/>
    <col min="6" max="6" width="11" style="2" customWidth="1"/>
    <col min="7" max="7" width="22.5546875" style="2" customWidth="1"/>
    <col min="8" max="8" width="14.44140625" style="1" customWidth="1"/>
    <col min="9" max="9" width="14.6640625" style="2" customWidth="1"/>
    <col min="10" max="10" width="12.44140625" style="2" customWidth="1"/>
    <col min="11" max="11" width="13.33203125" style="1" customWidth="1"/>
    <col min="12" max="12" width="12.88671875" style="2" customWidth="1"/>
    <col min="13" max="13" width="14.109375" style="2" customWidth="1"/>
    <col min="14" max="14" width="12.5546875" style="1" customWidth="1"/>
    <col min="15" max="15" width="12.88671875" style="1" customWidth="1"/>
    <col min="16" max="16" width="13.88671875" style="2" customWidth="1"/>
    <col min="17" max="19" width="17.5546875" style="2" customWidth="1"/>
    <col min="20" max="20" width="16.44140625" style="1" customWidth="1"/>
    <col min="21" max="23" width="17.6640625" style="1" customWidth="1"/>
    <col min="24" max="24" width="18.6640625" style="2" customWidth="1"/>
    <col min="25" max="25" width="15.109375" style="2" customWidth="1"/>
    <col min="26" max="26" width="10.33203125" style="2" customWidth="1"/>
    <col min="27" max="27" width="9" style="2" customWidth="1"/>
    <col min="28" max="28" width="14.109375" style="2" customWidth="1"/>
    <col min="29" max="29" width="12.5546875" style="2" customWidth="1"/>
    <col min="30" max="30" width="13.33203125" style="2" customWidth="1"/>
    <col min="31" max="31" width="12.109375" style="2" customWidth="1"/>
    <col min="32" max="33" width="14.6640625" style="2" customWidth="1"/>
    <col min="34" max="34" width="30" style="1" customWidth="1"/>
    <col min="35" max="16384" width="9.109375" style="1"/>
  </cols>
  <sheetData>
    <row r="1" spans="1:34" s="4" customFormat="1" x14ac:dyDescent="0.3">
      <c r="A1" s="23" t="s">
        <v>0</v>
      </c>
      <c r="B1" s="23" t="s">
        <v>1</v>
      </c>
      <c r="C1" s="23" t="s">
        <v>20</v>
      </c>
      <c r="D1" s="23" t="s">
        <v>2</v>
      </c>
      <c r="E1" s="23" t="s">
        <v>3</v>
      </c>
      <c r="F1" s="19" t="s">
        <v>4</v>
      </c>
      <c r="G1" s="19" t="s">
        <v>5</v>
      </c>
      <c r="H1" s="19" t="s">
        <v>21</v>
      </c>
      <c r="I1" s="18" t="s">
        <v>6</v>
      </c>
      <c r="J1" s="18"/>
      <c r="K1" s="19" t="s">
        <v>23</v>
      </c>
      <c r="L1" s="17" t="s">
        <v>7</v>
      </c>
      <c r="M1" s="17"/>
      <c r="N1" s="17"/>
      <c r="O1" s="17"/>
      <c r="P1" s="17" t="s">
        <v>8</v>
      </c>
      <c r="Q1" s="17"/>
      <c r="R1" s="17"/>
      <c r="S1" s="17"/>
      <c r="T1" s="17"/>
      <c r="U1" s="17"/>
      <c r="V1" s="17"/>
      <c r="W1" s="17"/>
      <c r="X1" s="19" t="s">
        <v>9</v>
      </c>
      <c r="Y1" s="19" t="s">
        <v>10</v>
      </c>
      <c r="Z1" s="18" t="s">
        <v>11</v>
      </c>
      <c r="AA1" s="18"/>
      <c r="AB1" s="18" t="s">
        <v>12</v>
      </c>
      <c r="AC1" s="18"/>
      <c r="AD1" s="18" t="s">
        <v>13</v>
      </c>
      <c r="AE1" s="18"/>
      <c r="AF1" s="19" t="s">
        <v>14</v>
      </c>
      <c r="AG1" s="19" t="s">
        <v>30</v>
      </c>
      <c r="AH1" s="23" t="s">
        <v>15</v>
      </c>
    </row>
    <row r="2" spans="1:34" s="4" customFormat="1" x14ac:dyDescent="0.3">
      <c r="A2" s="24"/>
      <c r="B2" s="24"/>
      <c r="C2" s="24"/>
      <c r="D2" s="24"/>
      <c r="E2" s="24"/>
      <c r="F2" s="26"/>
      <c r="G2" s="26"/>
      <c r="H2" s="26"/>
      <c r="I2" s="19" t="s">
        <v>18</v>
      </c>
      <c r="J2" s="19" t="s">
        <v>22</v>
      </c>
      <c r="K2" s="26"/>
      <c r="L2" s="21" t="s">
        <v>16</v>
      </c>
      <c r="M2" s="22"/>
      <c r="N2" s="21" t="s">
        <v>17</v>
      </c>
      <c r="O2" s="22"/>
      <c r="P2" s="17" t="s">
        <v>16</v>
      </c>
      <c r="Q2" s="17"/>
      <c r="R2" s="17"/>
      <c r="S2" s="17"/>
      <c r="T2" s="17" t="s">
        <v>17</v>
      </c>
      <c r="U2" s="17"/>
      <c r="V2" s="17"/>
      <c r="W2" s="17"/>
      <c r="X2" s="26"/>
      <c r="Y2" s="26"/>
      <c r="Z2" s="19" t="s">
        <v>27</v>
      </c>
      <c r="AA2" s="19" t="s">
        <v>28</v>
      </c>
      <c r="AB2" s="19" t="s">
        <v>29</v>
      </c>
      <c r="AC2" s="19" t="s">
        <v>19</v>
      </c>
      <c r="AD2" s="19" t="s">
        <v>29</v>
      </c>
      <c r="AE2" s="19" t="s">
        <v>19</v>
      </c>
      <c r="AF2" s="26"/>
      <c r="AG2" s="26"/>
      <c r="AH2" s="24"/>
    </row>
    <row r="3" spans="1:34" s="5" customFormat="1" ht="33.6" x14ac:dyDescent="0.3">
      <c r="A3" s="25"/>
      <c r="B3" s="25"/>
      <c r="C3" s="25"/>
      <c r="D3" s="25"/>
      <c r="E3" s="25"/>
      <c r="F3" s="20"/>
      <c r="G3" s="20"/>
      <c r="H3" s="20"/>
      <c r="I3" s="20"/>
      <c r="J3" s="20"/>
      <c r="K3" s="20"/>
      <c r="L3" s="3" t="s">
        <v>18</v>
      </c>
      <c r="M3" s="3" t="s">
        <v>24</v>
      </c>
      <c r="N3" s="3" t="s">
        <v>18</v>
      </c>
      <c r="O3" s="3" t="s">
        <v>25</v>
      </c>
      <c r="P3" s="3" t="s">
        <v>18</v>
      </c>
      <c r="Q3" s="3" t="s">
        <v>24</v>
      </c>
      <c r="R3" s="3" t="s">
        <v>31</v>
      </c>
      <c r="S3" s="3" t="s">
        <v>26</v>
      </c>
      <c r="T3" s="3" t="s">
        <v>18</v>
      </c>
      <c r="U3" s="3" t="s">
        <v>25</v>
      </c>
      <c r="V3" s="3" t="s">
        <v>31</v>
      </c>
      <c r="W3" s="3" t="s">
        <v>26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5"/>
    </row>
    <row r="4" spans="1:34" s="5" customFormat="1" ht="24.75" customHeight="1" x14ac:dyDescent="0.3">
      <c r="A4" s="7"/>
      <c r="B4" s="14" t="s">
        <v>33</v>
      </c>
      <c r="C4" s="15"/>
      <c r="D4" s="9">
        <f>SUMPRODUCT(--ISTEXT(D5:D5))</f>
        <v>1</v>
      </c>
      <c r="E4" s="9"/>
      <c r="F4" s="8"/>
      <c r="G4" s="9"/>
      <c r="H4" s="10">
        <f>SUM(H5:H5)</f>
        <v>12552.9</v>
      </c>
      <c r="I4" s="8"/>
      <c r="J4" s="10">
        <f>SUM(J5:J5)</f>
        <v>13254.6</v>
      </c>
      <c r="K4" s="10">
        <f>SUM(K5:K5)</f>
        <v>9720</v>
      </c>
      <c r="L4" s="6"/>
      <c r="M4" s="11">
        <f>SUM(M5:M5)</f>
        <v>11333.8</v>
      </c>
      <c r="N4" s="6"/>
      <c r="O4" s="11">
        <f>SUM(O5:O5)</f>
        <v>0</v>
      </c>
      <c r="P4" s="6"/>
      <c r="Q4" s="11">
        <f>SUM(Q5:Q5)</f>
        <v>9368.7999999999993</v>
      </c>
      <c r="R4" s="6"/>
      <c r="S4" s="11">
        <f>SUM(S5:S5)</f>
        <v>9368.7999999999993</v>
      </c>
      <c r="T4" s="6"/>
      <c r="U4" s="11">
        <f>SUM(U5:U5)</f>
        <v>0</v>
      </c>
      <c r="V4" s="6"/>
      <c r="W4" s="11">
        <f>SUM(W5:W5)</f>
        <v>0</v>
      </c>
      <c r="X4" s="8"/>
      <c r="Y4" s="8"/>
      <c r="Z4" s="8">
        <f>SUM(Z5:Z5)</f>
        <v>0</v>
      </c>
      <c r="AA4" s="8"/>
      <c r="AB4" s="10">
        <f>SUM(AB5:AB5)</f>
        <v>603.1</v>
      </c>
      <c r="AC4" s="12">
        <f>(AB4/K4)*100</f>
        <v>6.2047325102880659</v>
      </c>
      <c r="AD4" s="10">
        <f>SUM(AD5:AD5)</f>
        <v>103.1</v>
      </c>
      <c r="AE4" s="12">
        <f>(AD4/K4)*100</f>
        <v>1.0606995884773662</v>
      </c>
      <c r="AF4" s="8"/>
      <c r="AG4" s="10">
        <f>SUM(AG5:AG5)</f>
        <v>0</v>
      </c>
      <c r="AH4" s="7"/>
    </row>
    <row r="5" spans="1:34" s="5" customFormat="1" ht="132" customHeight="1" x14ac:dyDescent="0.3">
      <c r="A5" s="7">
        <v>1</v>
      </c>
      <c r="B5" s="8" t="s">
        <v>34</v>
      </c>
      <c r="C5" s="9" t="s">
        <v>32</v>
      </c>
      <c r="D5" s="9" t="s">
        <v>35</v>
      </c>
      <c r="E5" s="9"/>
      <c r="F5" s="8" t="s">
        <v>36</v>
      </c>
      <c r="G5" s="9"/>
      <c r="H5" s="10">
        <v>12552.9</v>
      </c>
      <c r="I5" s="8" t="s">
        <v>37</v>
      </c>
      <c r="J5" s="10">
        <v>13254.6</v>
      </c>
      <c r="K5" s="10">
        <v>9720</v>
      </c>
      <c r="L5" s="6" t="s">
        <v>38</v>
      </c>
      <c r="M5" s="11">
        <v>11333.8</v>
      </c>
      <c r="N5" s="6"/>
      <c r="O5" s="11">
        <v>0</v>
      </c>
      <c r="P5" s="6" t="s">
        <v>39</v>
      </c>
      <c r="Q5" s="11">
        <v>9368.7999999999993</v>
      </c>
      <c r="R5" s="6" t="s">
        <v>40</v>
      </c>
      <c r="S5" s="11">
        <v>9368.7999999999993</v>
      </c>
      <c r="T5" s="6"/>
      <c r="U5" s="11">
        <v>0</v>
      </c>
      <c r="V5" s="6"/>
      <c r="W5" s="11">
        <v>0</v>
      </c>
      <c r="X5" s="8" t="s">
        <v>41</v>
      </c>
      <c r="Y5" s="8" t="s">
        <v>42</v>
      </c>
      <c r="Z5" s="8">
        <v>0</v>
      </c>
      <c r="AA5" s="8">
        <v>0</v>
      </c>
      <c r="AB5" s="10">
        <v>603.1</v>
      </c>
      <c r="AC5" s="12">
        <v>6</v>
      </c>
      <c r="AD5" s="10">
        <v>103.1</v>
      </c>
      <c r="AE5" s="12">
        <v>1</v>
      </c>
      <c r="AF5" s="8"/>
      <c r="AG5" s="10"/>
      <c r="AH5" s="7"/>
    </row>
    <row r="6" spans="1:34" s="5" customFormat="1" ht="16.5" customHeight="1" x14ac:dyDescent="0.3">
      <c r="A6" s="7"/>
      <c r="B6" s="14" t="s">
        <v>43</v>
      </c>
      <c r="C6" s="15"/>
      <c r="D6" s="9">
        <f>SUMPRODUCT(--ISTEXT(D7:D8))</f>
        <v>2</v>
      </c>
      <c r="E6" s="9"/>
      <c r="F6" s="8"/>
      <c r="G6" s="9"/>
      <c r="H6" s="10">
        <f>SUM(H7:H8)</f>
        <v>17416.2</v>
      </c>
      <c r="I6" s="8"/>
      <c r="J6" s="10">
        <f>SUM(J7:J8)</f>
        <v>16961.7</v>
      </c>
      <c r="K6" s="10">
        <f>SUM(K7:K8)</f>
        <v>14508</v>
      </c>
      <c r="L6" s="6"/>
      <c r="M6" s="11">
        <f>SUM(M7:M8)</f>
        <v>2579.9</v>
      </c>
      <c r="N6" s="6"/>
      <c r="O6" s="11">
        <f>SUM(O7:O8)</f>
        <v>11705.5</v>
      </c>
      <c r="P6" s="6"/>
      <c r="Q6" s="11">
        <f>SUM(Q7:Q8)</f>
        <v>2412.3000000000002</v>
      </c>
      <c r="R6" s="6"/>
      <c r="S6" s="11">
        <f>SUM(S7:S8)</f>
        <v>2412.3000000000002</v>
      </c>
      <c r="T6" s="6"/>
      <c r="U6" s="11">
        <f>SUM(U7:U8)</f>
        <v>0</v>
      </c>
      <c r="V6" s="6"/>
      <c r="W6" s="11">
        <f>SUM(W7:W8)</f>
        <v>0</v>
      </c>
      <c r="X6" s="8"/>
      <c r="Y6" s="8"/>
      <c r="Z6" s="8">
        <f>SUM(Z7:Z8)</f>
        <v>0</v>
      </c>
      <c r="AA6" s="8"/>
      <c r="AB6" s="10">
        <f>SUM(AB7:AB8)</f>
        <v>1624.1000000000001</v>
      </c>
      <c r="AC6" s="12">
        <f>(AB6/K6)*100</f>
        <v>11.194513371932729</v>
      </c>
      <c r="AD6" s="10">
        <f>SUM(AD7:AD8)</f>
        <v>1624.1000000000001</v>
      </c>
      <c r="AE6" s="12">
        <f>(AD6/K6)*100</f>
        <v>11.194513371932729</v>
      </c>
      <c r="AF6" s="8"/>
      <c r="AG6" s="10">
        <f>SUM(AG7:AG8)</f>
        <v>0</v>
      </c>
      <c r="AH6" s="7"/>
    </row>
    <row r="7" spans="1:34" s="5" customFormat="1" ht="82.5" customHeight="1" x14ac:dyDescent="0.3">
      <c r="A7" s="7">
        <v>1</v>
      </c>
      <c r="B7" s="8" t="s">
        <v>44</v>
      </c>
      <c r="C7" s="9" t="s">
        <v>32</v>
      </c>
      <c r="D7" s="9" t="s">
        <v>45</v>
      </c>
      <c r="E7" s="9"/>
      <c r="F7" s="8" t="s">
        <v>36</v>
      </c>
      <c r="G7" s="9"/>
      <c r="H7" s="10">
        <v>13650.4</v>
      </c>
      <c r="I7" s="8" t="s">
        <v>46</v>
      </c>
      <c r="J7" s="10">
        <v>13650.4</v>
      </c>
      <c r="K7" s="10">
        <v>11840</v>
      </c>
      <c r="L7" s="6"/>
      <c r="M7" s="11">
        <v>0</v>
      </c>
      <c r="N7" s="6" t="s">
        <v>47</v>
      </c>
      <c r="O7" s="11">
        <v>11705.5</v>
      </c>
      <c r="P7" s="6"/>
      <c r="Q7" s="11">
        <v>0</v>
      </c>
      <c r="R7" s="6"/>
      <c r="S7" s="11">
        <v>0</v>
      </c>
      <c r="T7" s="6"/>
      <c r="U7" s="11">
        <v>0</v>
      </c>
      <c r="V7" s="6"/>
      <c r="W7" s="11">
        <v>0</v>
      </c>
      <c r="X7" s="8"/>
      <c r="Y7" s="8" t="s">
        <v>48</v>
      </c>
      <c r="Z7" s="8">
        <v>0</v>
      </c>
      <c r="AA7" s="8">
        <v>0</v>
      </c>
      <c r="AB7" s="10">
        <v>1445.7</v>
      </c>
      <c r="AC7" s="12">
        <v>12</v>
      </c>
      <c r="AD7" s="10">
        <v>1445.7</v>
      </c>
      <c r="AE7" s="12">
        <v>12</v>
      </c>
      <c r="AF7" s="8"/>
      <c r="AG7" s="10">
        <v>0</v>
      </c>
      <c r="AH7" s="7"/>
    </row>
    <row r="8" spans="1:34" s="5" customFormat="1" ht="132" customHeight="1" x14ac:dyDescent="0.3">
      <c r="A8" s="7">
        <v>2</v>
      </c>
      <c r="B8" s="8" t="s">
        <v>49</v>
      </c>
      <c r="C8" s="9" t="s">
        <v>32</v>
      </c>
      <c r="D8" s="9" t="s">
        <v>50</v>
      </c>
      <c r="E8" s="9" t="s">
        <v>50</v>
      </c>
      <c r="F8" s="8" t="s">
        <v>36</v>
      </c>
      <c r="G8" s="9"/>
      <c r="H8" s="10">
        <v>3765.8</v>
      </c>
      <c r="I8" s="8" t="s">
        <v>51</v>
      </c>
      <c r="J8" s="10">
        <v>3311.3</v>
      </c>
      <c r="K8" s="10">
        <v>2668</v>
      </c>
      <c r="L8" s="6" t="s">
        <v>52</v>
      </c>
      <c r="M8" s="11">
        <v>2579.9</v>
      </c>
      <c r="N8" s="6"/>
      <c r="O8" s="11">
        <v>0</v>
      </c>
      <c r="P8" s="6" t="s">
        <v>53</v>
      </c>
      <c r="Q8" s="11">
        <v>2412.3000000000002</v>
      </c>
      <c r="R8" s="6" t="s">
        <v>54</v>
      </c>
      <c r="S8" s="11">
        <v>2412.3000000000002</v>
      </c>
      <c r="T8" s="6"/>
      <c r="U8" s="11">
        <v>0</v>
      </c>
      <c r="V8" s="6"/>
      <c r="W8" s="11">
        <v>0</v>
      </c>
      <c r="X8" s="8" t="s">
        <v>55</v>
      </c>
      <c r="Y8" s="8" t="s">
        <v>56</v>
      </c>
      <c r="Z8" s="8">
        <v>0</v>
      </c>
      <c r="AA8" s="8">
        <v>0</v>
      </c>
      <c r="AB8" s="10">
        <v>178.4</v>
      </c>
      <c r="AC8" s="12">
        <v>6</v>
      </c>
      <c r="AD8" s="10">
        <v>178.4</v>
      </c>
      <c r="AE8" s="12">
        <v>6</v>
      </c>
      <c r="AF8" s="8"/>
      <c r="AG8" s="10"/>
      <c r="AH8" s="7"/>
    </row>
    <row r="9" spans="1:34" s="5" customFormat="1" ht="16.5" customHeight="1" x14ac:dyDescent="0.3">
      <c r="A9" s="7"/>
      <c r="B9" s="14" t="s">
        <v>57</v>
      </c>
      <c r="C9" s="15"/>
      <c r="D9" s="9">
        <f>SUMPRODUCT(--ISTEXT(D10:D10))</f>
        <v>1</v>
      </c>
      <c r="E9" s="9"/>
      <c r="F9" s="8"/>
      <c r="G9" s="9"/>
      <c r="H9" s="10">
        <f>SUM(H10:H10)</f>
        <v>1591</v>
      </c>
      <c r="I9" s="8"/>
      <c r="J9" s="10">
        <f>SUM(J10:J10)</f>
        <v>0</v>
      </c>
      <c r="K9" s="10">
        <f>SUM(K10:K10)</f>
        <v>1125</v>
      </c>
      <c r="L9" s="6"/>
      <c r="M9" s="11">
        <f>SUM(M10:M10)</f>
        <v>0</v>
      </c>
      <c r="N9" s="6"/>
      <c r="O9" s="11">
        <f>SUM(O10:O10)</f>
        <v>0</v>
      </c>
      <c r="P9" s="6"/>
      <c r="Q9" s="11">
        <f>SUM(Q10:Q10)</f>
        <v>0</v>
      </c>
      <c r="R9" s="6"/>
      <c r="S9" s="11">
        <f>SUM(S10:S10)</f>
        <v>0</v>
      </c>
      <c r="T9" s="6"/>
      <c r="U9" s="11">
        <f>SUM(U10:U10)</f>
        <v>0</v>
      </c>
      <c r="V9" s="6"/>
      <c r="W9" s="11">
        <f>SUM(W10:W10)</f>
        <v>0</v>
      </c>
      <c r="X9" s="8"/>
      <c r="Y9" s="8"/>
      <c r="Z9" s="8">
        <f>SUM(Z10:Z10)</f>
        <v>0</v>
      </c>
      <c r="AA9" s="8"/>
      <c r="AB9" s="10">
        <f>SUM(AB10:AB10)</f>
        <v>100</v>
      </c>
      <c r="AC9" s="12">
        <f>(AB9/K9)*100</f>
        <v>8.8888888888888893</v>
      </c>
      <c r="AD9" s="10">
        <f>SUM(AD10:AD10)</f>
        <v>0</v>
      </c>
      <c r="AE9" s="12">
        <f>(AD9/K9)*100</f>
        <v>0</v>
      </c>
      <c r="AF9" s="8"/>
      <c r="AG9" s="10">
        <f>SUM(AG10:AG10)</f>
        <v>0</v>
      </c>
      <c r="AH9" s="7"/>
    </row>
    <row r="10" spans="1:34" s="5" customFormat="1" ht="33" customHeight="1" x14ac:dyDescent="0.3">
      <c r="A10" s="7">
        <v>1</v>
      </c>
      <c r="B10" s="8" t="s">
        <v>58</v>
      </c>
      <c r="C10" s="9" t="s">
        <v>32</v>
      </c>
      <c r="D10" s="9" t="s">
        <v>59</v>
      </c>
      <c r="E10" s="9"/>
      <c r="F10" s="8" t="s">
        <v>36</v>
      </c>
      <c r="G10" s="9"/>
      <c r="H10" s="10">
        <v>1591</v>
      </c>
      <c r="I10" s="8"/>
      <c r="J10" s="10"/>
      <c r="K10" s="10">
        <v>1125</v>
      </c>
      <c r="L10" s="6"/>
      <c r="M10" s="11">
        <v>0</v>
      </c>
      <c r="N10" s="6"/>
      <c r="O10" s="11">
        <v>0</v>
      </c>
      <c r="P10" s="6"/>
      <c r="Q10" s="11">
        <v>0</v>
      </c>
      <c r="R10" s="6"/>
      <c r="S10" s="11">
        <v>0</v>
      </c>
      <c r="T10" s="6"/>
      <c r="U10" s="11">
        <v>0</v>
      </c>
      <c r="V10" s="6"/>
      <c r="W10" s="11">
        <v>0</v>
      </c>
      <c r="X10" s="8"/>
      <c r="Y10" s="8"/>
      <c r="Z10" s="8">
        <v>0</v>
      </c>
      <c r="AA10" s="8">
        <v>0</v>
      </c>
      <c r="AB10" s="10">
        <v>100</v>
      </c>
      <c r="AC10" s="12">
        <v>8</v>
      </c>
      <c r="AD10" s="10"/>
      <c r="AE10" s="12"/>
      <c r="AF10" s="8"/>
      <c r="AG10" s="10"/>
      <c r="AH10" s="7"/>
    </row>
    <row r="11" spans="1:34" s="5" customFormat="1" ht="16.5" customHeight="1" x14ac:dyDescent="0.3">
      <c r="A11" s="7"/>
      <c r="B11" s="14" t="s">
        <v>60</v>
      </c>
      <c r="C11" s="15"/>
      <c r="D11" s="9">
        <f>SUMPRODUCT(--ISTEXT(D12:D12))</f>
        <v>1</v>
      </c>
      <c r="E11" s="9"/>
      <c r="F11" s="8"/>
      <c r="G11" s="9"/>
      <c r="H11" s="10">
        <f>SUM(H12:H12)</f>
        <v>526.70000000000005</v>
      </c>
      <c r="I11" s="8"/>
      <c r="J11" s="10">
        <f>SUM(J12:J12)</f>
        <v>523.70000000000005</v>
      </c>
      <c r="K11" s="10">
        <f>SUM(K12:K12)</f>
        <v>440</v>
      </c>
      <c r="L11" s="6"/>
      <c r="M11" s="11">
        <f>SUM(M12:M12)</f>
        <v>0</v>
      </c>
      <c r="N11" s="6"/>
      <c r="O11" s="11">
        <f>SUM(O12:O12)</f>
        <v>0</v>
      </c>
      <c r="P11" s="6"/>
      <c r="Q11" s="11">
        <f>SUM(Q12:Q12)</f>
        <v>0</v>
      </c>
      <c r="R11" s="6"/>
      <c r="S11" s="11">
        <f>SUM(S12:S12)</f>
        <v>0</v>
      </c>
      <c r="T11" s="6"/>
      <c r="U11" s="11">
        <f>SUM(U12:U12)</f>
        <v>0</v>
      </c>
      <c r="V11" s="6"/>
      <c r="W11" s="11">
        <f>SUM(W12:W12)</f>
        <v>0</v>
      </c>
      <c r="X11" s="8"/>
      <c r="Y11" s="8"/>
      <c r="Z11" s="8">
        <f>SUM(Z12:Z12)</f>
        <v>0</v>
      </c>
      <c r="AA11" s="8"/>
      <c r="AB11" s="10">
        <f>SUM(AB12:AB12)</f>
        <v>0</v>
      </c>
      <c r="AC11" s="12">
        <f>(AB11/K11)*100</f>
        <v>0</v>
      </c>
      <c r="AD11" s="10">
        <f>SUM(AD12:AD12)</f>
        <v>0</v>
      </c>
      <c r="AE11" s="12">
        <f>(AD11/K11)*100</f>
        <v>0</v>
      </c>
      <c r="AF11" s="8"/>
      <c r="AG11" s="10">
        <f>SUM(AG12:AG12)</f>
        <v>0</v>
      </c>
      <c r="AH11" s="7"/>
    </row>
    <row r="12" spans="1:34" s="5" customFormat="1" ht="66" customHeight="1" x14ac:dyDescent="0.3">
      <c r="A12" s="7">
        <v>1</v>
      </c>
      <c r="B12" s="8" t="s">
        <v>61</v>
      </c>
      <c r="C12" s="9" t="s">
        <v>32</v>
      </c>
      <c r="D12" s="9" t="s">
        <v>62</v>
      </c>
      <c r="E12" s="9"/>
      <c r="F12" s="8" t="s">
        <v>36</v>
      </c>
      <c r="G12" s="9"/>
      <c r="H12" s="10">
        <v>526.70000000000005</v>
      </c>
      <c r="I12" s="8" t="s">
        <v>63</v>
      </c>
      <c r="J12" s="10">
        <v>523.70000000000005</v>
      </c>
      <c r="K12" s="10">
        <v>440</v>
      </c>
      <c r="L12" s="6"/>
      <c r="M12" s="11">
        <v>0</v>
      </c>
      <c r="N12" s="6"/>
      <c r="O12" s="11">
        <v>0</v>
      </c>
      <c r="P12" s="6"/>
      <c r="Q12" s="11">
        <v>0</v>
      </c>
      <c r="R12" s="6"/>
      <c r="S12" s="11">
        <v>0</v>
      </c>
      <c r="T12" s="6"/>
      <c r="U12" s="11">
        <v>0</v>
      </c>
      <c r="V12" s="6"/>
      <c r="W12" s="11">
        <v>0</v>
      </c>
      <c r="X12" s="8"/>
      <c r="Y12" s="8"/>
      <c r="Z12" s="8">
        <v>0</v>
      </c>
      <c r="AA12" s="8">
        <v>0</v>
      </c>
      <c r="AB12" s="10"/>
      <c r="AC12" s="12"/>
      <c r="AD12" s="10"/>
      <c r="AE12" s="12"/>
      <c r="AF12" s="8"/>
      <c r="AG12" s="10"/>
      <c r="AH12" s="7"/>
    </row>
    <row r="13" spans="1:34" s="5" customFormat="1" ht="16.5" customHeight="1" x14ac:dyDescent="0.3">
      <c r="A13" s="7"/>
      <c r="B13" s="14" t="s">
        <v>64</v>
      </c>
      <c r="C13" s="15"/>
      <c r="D13" s="9">
        <f>SUMPRODUCT(--ISTEXT(D14:D15))</f>
        <v>2</v>
      </c>
      <c r="E13" s="9"/>
      <c r="F13" s="8"/>
      <c r="G13" s="9"/>
      <c r="H13" s="10">
        <f>SUM(H14:H15)</f>
        <v>19016.599999999999</v>
      </c>
      <c r="I13" s="8"/>
      <c r="J13" s="10">
        <f>SUM(J14:J15)</f>
        <v>18305.7</v>
      </c>
      <c r="K13" s="10">
        <f>SUM(K14:K15)</f>
        <v>14682</v>
      </c>
      <c r="L13" s="6"/>
      <c r="M13" s="11">
        <f>SUM(M14:M15)</f>
        <v>18305.7</v>
      </c>
      <c r="N13" s="6"/>
      <c r="O13" s="11">
        <f>SUM(O14:O15)</f>
        <v>0</v>
      </c>
      <c r="P13" s="6"/>
      <c r="Q13" s="11">
        <f>SUM(Q14:Q15)</f>
        <v>4827.7</v>
      </c>
      <c r="R13" s="6"/>
      <c r="S13" s="11">
        <f>SUM(S14:S15)</f>
        <v>4827.7</v>
      </c>
      <c r="T13" s="6"/>
      <c r="U13" s="11">
        <f>SUM(U14:U15)</f>
        <v>0</v>
      </c>
      <c r="V13" s="6"/>
      <c r="W13" s="11">
        <f>SUM(W14:W15)</f>
        <v>0</v>
      </c>
      <c r="X13" s="8"/>
      <c r="Y13" s="8"/>
      <c r="Z13" s="8">
        <f>SUM(Z14:Z15)</f>
        <v>0</v>
      </c>
      <c r="AA13" s="8"/>
      <c r="AB13" s="10">
        <f>SUM(AB14:AB15)</f>
        <v>0</v>
      </c>
      <c r="AC13" s="12">
        <f>(AB13/K13)*100</f>
        <v>0</v>
      </c>
      <c r="AD13" s="10">
        <f>SUM(AD14:AD15)</f>
        <v>0</v>
      </c>
      <c r="AE13" s="12">
        <f>(AD13/K13)*100</f>
        <v>0</v>
      </c>
      <c r="AF13" s="8"/>
      <c r="AG13" s="10">
        <f>SUM(AG14:AG15)</f>
        <v>0</v>
      </c>
      <c r="AH13" s="7"/>
    </row>
    <row r="14" spans="1:34" s="5" customFormat="1" ht="66" customHeight="1" x14ac:dyDescent="0.3">
      <c r="A14" s="7">
        <v>1</v>
      </c>
      <c r="B14" s="8" t="s">
        <v>65</v>
      </c>
      <c r="C14" s="9" t="s">
        <v>32</v>
      </c>
      <c r="D14" s="9" t="s">
        <v>66</v>
      </c>
      <c r="E14" s="9" t="s">
        <v>67</v>
      </c>
      <c r="F14" s="8" t="s">
        <v>36</v>
      </c>
      <c r="G14" s="9"/>
      <c r="H14" s="10">
        <v>13236.6</v>
      </c>
      <c r="I14" s="8" t="s">
        <v>68</v>
      </c>
      <c r="J14" s="10">
        <v>13236.6</v>
      </c>
      <c r="K14" s="10">
        <v>10604</v>
      </c>
      <c r="L14" s="6" t="s">
        <v>69</v>
      </c>
      <c r="M14" s="11">
        <v>13236.6</v>
      </c>
      <c r="N14" s="6"/>
      <c r="O14" s="11">
        <v>0</v>
      </c>
      <c r="P14" s="6"/>
      <c r="Q14" s="11">
        <v>0</v>
      </c>
      <c r="R14" s="6"/>
      <c r="S14" s="11">
        <v>0</v>
      </c>
      <c r="T14" s="6"/>
      <c r="U14" s="11">
        <v>0</v>
      </c>
      <c r="V14" s="6"/>
      <c r="W14" s="11">
        <v>0</v>
      </c>
      <c r="X14" s="8"/>
      <c r="Y14" s="8"/>
      <c r="Z14" s="8">
        <v>0</v>
      </c>
      <c r="AA14" s="8">
        <v>0</v>
      </c>
      <c r="AB14" s="10"/>
      <c r="AC14" s="12"/>
      <c r="AD14" s="10"/>
      <c r="AE14" s="12"/>
      <c r="AF14" s="8"/>
      <c r="AG14" s="10"/>
      <c r="AH14" s="7"/>
    </row>
    <row r="15" spans="1:34" s="5" customFormat="1" ht="132" customHeight="1" x14ac:dyDescent="0.3">
      <c r="A15" s="7">
        <v>2</v>
      </c>
      <c r="B15" s="8" t="s">
        <v>70</v>
      </c>
      <c r="C15" s="9" t="s">
        <v>32</v>
      </c>
      <c r="D15" s="9" t="s">
        <v>71</v>
      </c>
      <c r="E15" s="9" t="s">
        <v>71</v>
      </c>
      <c r="F15" s="8" t="s">
        <v>36</v>
      </c>
      <c r="G15" s="9"/>
      <c r="H15" s="10">
        <v>5780</v>
      </c>
      <c r="I15" s="8" t="s">
        <v>72</v>
      </c>
      <c r="J15" s="10">
        <v>5069.1000000000004</v>
      </c>
      <c r="K15" s="10">
        <v>4078</v>
      </c>
      <c r="L15" s="6" t="s">
        <v>73</v>
      </c>
      <c r="M15" s="11">
        <v>5069.1000000000004</v>
      </c>
      <c r="N15" s="6"/>
      <c r="O15" s="11">
        <v>0</v>
      </c>
      <c r="P15" s="6"/>
      <c r="Q15" s="11">
        <v>4827.7</v>
      </c>
      <c r="R15" s="6" t="s">
        <v>74</v>
      </c>
      <c r="S15" s="11">
        <v>4827.7</v>
      </c>
      <c r="T15" s="6"/>
      <c r="U15" s="11">
        <v>0</v>
      </c>
      <c r="V15" s="6"/>
      <c r="W15" s="11">
        <v>0</v>
      </c>
      <c r="X15" s="8" t="s">
        <v>55</v>
      </c>
      <c r="Y15" s="8" t="s">
        <v>56</v>
      </c>
      <c r="Z15" s="8">
        <v>0</v>
      </c>
      <c r="AA15" s="8">
        <v>0</v>
      </c>
      <c r="AB15" s="10"/>
      <c r="AC15" s="12"/>
      <c r="AD15" s="10"/>
      <c r="AE15" s="12"/>
      <c r="AF15" s="8"/>
      <c r="AG15" s="10"/>
      <c r="AH15" s="7"/>
    </row>
    <row r="16" spans="1:34" s="5" customFormat="1" ht="16.5" customHeight="1" x14ac:dyDescent="0.3">
      <c r="A16" s="16" t="s">
        <v>75</v>
      </c>
      <c r="B16" s="16"/>
      <c r="C16" s="15"/>
      <c r="D16" s="13">
        <f>+D4+D6+D9+D11+D13</f>
        <v>7</v>
      </c>
      <c r="E16" s="9"/>
      <c r="F16" s="8"/>
      <c r="G16" s="9"/>
      <c r="H16" s="13">
        <f>+H4+H6+H9+H11+H13</f>
        <v>51103.399999999994</v>
      </c>
      <c r="I16" s="8"/>
      <c r="J16" s="13">
        <f>+J4+J6+J9+J11+J13</f>
        <v>49045.700000000004</v>
      </c>
      <c r="K16" s="13">
        <f>+K4+K6+K9+K11+K13</f>
        <v>40475</v>
      </c>
      <c r="L16" s="6"/>
      <c r="M16" s="13">
        <f>+M4+M6+M9+M11+M13</f>
        <v>32219.4</v>
      </c>
      <c r="N16" s="6"/>
      <c r="O16" s="13">
        <f>+O4+O6+O9+O11+O13</f>
        <v>11705.5</v>
      </c>
      <c r="P16" s="6"/>
      <c r="Q16" s="13">
        <f>+Q4+Q6+Q9+Q11+Q13</f>
        <v>16608.8</v>
      </c>
      <c r="R16" s="6"/>
      <c r="S16" s="13">
        <f>+S4+S6+S9+S11+S13</f>
        <v>16608.8</v>
      </c>
      <c r="T16" s="6"/>
      <c r="U16" s="13">
        <f>+U4+U6+U9+U11+U13</f>
        <v>0</v>
      </c>
      <c r="V16" s="6"/>
      <c r="W16" s="13">
        <f>+W4+W6+W9+W11+W13</f>
        <v>0</v>
      </c>
      <c r="X16" s="8"/>
      <c r="Y16" s="8"/>
      <c r="Z16" s="8"/>
      <c r="AA16" s="8"/>
      <c r="AB16" s="13">
        <f>+AB4+AB6+AB9+AB11+AB13</f>
        <v>2327.2000000000003</v>
      </c>
      <c r="AC16" s="13">
        <f>(AB16/K16)*100</f>
        <v>5.7497220506485496</v>
      </c>
      <c r="AD16" s="13">
        <f>+AD4+AD6+AD9+AD11+AD13</f>
        <v>1727.2</v>
      </c>
      <c r="AE16" s="13">
        <f>(AD16/K16)*100</f>
        <v>4.2673255095738112</v>
      </c>
      <c r="AF16" s="8"/>
      <c r="AG16" s="13">
        <f>+AG4+AG6+AG9+AG11+AG13</f>
        <v>0</v>
      </c>
      <c r="AH16" s="7"/>
    </row>
  </sheetData>
  <mergeCells count="38">
    <mergeCell ref="A1:A3"/>
    <mergeCell ref="F1:F3"/>
    <mergeCell ref="G1:G3"/>
    <mergeCell ref="E1:E3"/>
    <mergeCell ref="L2:M2"/>
    <mergeCell ref="AG1:AG3"/>
    <mergeCell ref="AB1:AC1"/>
    <mergeCell ref="AD1:AE1"/>
    <mergeCell ref="D1:D3"/>
    <mergeCell ref="B1:B3"/>
    <mergeCell ref="C1:C3"/>
    <mergeCell ref="AB2:AB3"/>
    <mergeCell ref="AH1:AH3"/>
    <mergeCell ref="H1:H3"/>
    <mergeCell ref="K1:K3"/>
    <mergeCell ref="X1:X3"/>
    <mergeCell ref="Y1:Y3"/>
    <mergeCell ref="AF1:AF3"/>
    <mergeCell ref="Z2:Z3"/>
    <mergeCell ref="I2:I3"/>
    <mergeCell ref="AA2:AA3"/>
    <mergeCell ref="AC2:AC3"/>
    <mergeCell ref="Z1:AA1"/>
    <mergeCell ref="AD2:AD3"/>
    <mergeCell ref="AE2:AE3"/>
    <mergeCell ref="N2:O2"/>
    <mergeCell ref="P2:S2"/>
    <mergeCell ref="P1:W1"/>
    <mergeCell ref="T2:W2"/>
    <mergeCell ref="I1:J1"/>
    <mergeCell ref="L1:O1"/>
    <mergeCell ref="J2:J3"/>
    <mergeCell ref="B4:C4"/>
    <mergeCell ref="B6:C6"/>
    <mergeCell ref="B9:C9"/>
    <mergeCell ref="B11:C11"/>
    <mergeCell ref="B13:C13"/>
    <mergeCell ref="A16:C16"/>
  </mergeCells>
  <pageMargins left="0.7" right="0.7" top="0.75" bottom="0.75" header="0.3" footer="0.3"/>
  <pageSetup paperSize="8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TUAN HOANG MINH</cp:lastModifiedBy>
  <cp:lastPrinted>2023-10-23T03:04:13Z</cp:lastPrinted>
  <dcterms:created xsi:type="dcterms:W3CDTF">2015-06-05T18:17:20Z</dcterms:created>
  <dcterms:modified xsi:type="dcterms:W3CDTF">2026-05-11T07:56:18Z</dcterms:modified>
</cp:coreProperties>
</file>