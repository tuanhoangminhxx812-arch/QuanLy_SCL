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. Quyet Toan SCL\6. SCL NMĐ Côn đảo\"/>
    </mc:Choice>
  </mc:AlternateContent>
  <xr:revisionPtr revIDLastSave="0" documentId="13_ncr:1_{D5B4FE23-9AB5-4E64-B935-DB18D1568466}" xr6:coauthVersionLast="47" xr6:coauthVersionMax="47" xr10:uidLastSave="{00000000-0000-0000-0000-000000000000}"/>
  <bookViews>
    <workbookView xWindow="-108" yWindow="-108" windowWidth="30936" windowHeight="16776" xr2:uid="{88E2DA68-F451-4879-9CCE-60BB85CDA523}"/>
  </bookViews>
  <sheets>
    <sheet name="Sheet1" sheetId="1" r:id="rId1"/>
    <sheet name="Tách VTT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E34" i="1" l="1"/>
  <c r="F12" i="1"/>
  <c r="E14" i="1"/>
  <c r="E18" i="1"/>
  <c r="E17" i="1"/>
  <c r="B16" i="1"/>
  <c r="B12" i="1"/>
  <c r="B19" i="1" l="1"/>
  <c r="B20" i="1" s="1"/>
  <c r="E13" i="1"/>
  <c r="E15" i="1"/>
  <c r="E16" i="1"/>
  <c r="E22" i="1"/>
  <c r="E24" i="1"/>
  <c r="E25" i="1"/>
  <c r="E26" i="1"/>
  <c r="E28" i="1"/>
  <c r="E30" i="1"/>
  <c r="E31" i="1"/>
  <c r="E32" i="1"/>
  <c r="E33" i="1"/>
  <c r="E35" i="1"/>
  <c r="E38" i="1"/>
  <c r="E42" i="1"/>
  <c r="F36" i="1"/>
  <c r="F37" i="1" s="1"/>
  <c r="F29" i="1" s="1"/>
  <c r="F27" i="1"/>
  <c r="F21" i="1" s="1"/>
  <c r="F19" i="1"/>
  <c r="D36" i="1"/>
  <c r="D27" i="1"/>
  <c r="D21" i="1" s="1"/>
  <c r="D12" i="1"/>
  <c r="D19" i="1" s="1"/>
  <c r="C36" i="1"/>
  <c r="C37" i="1" s="1"/>
  <c r="C29" i="1" s="1"/>
  <c r="C27" i="1"/>
  <c r="C21" i="1" s="1"/>
  <c r="C12" i="1"/>
  <c r="C19" i="1" s="1"/>
  <c r="B36" i="1"/>
  <c r="E36" i="1" s="1"/>
  <c r="F40" i="1" l="1"/>
  <c r="F20" i="1"/>
  <c r="F41" i="1" s="1"/>
  <c r="D40" i="1"/>
  <c r="D20" i="1"/>
  <c r="D11" i="1" s="1"/>
  <c r="D37" i="1"/>
  <c r="D29" i="1" s="1"/>
  <c r="C40" i="1"/>
  <c r="C20" i="1"/>
  <c r="C41" i="1" s="1"/>
  <c r="C11" i="1" l="1"/>
  <c r="F11" i="1"/>
  <c r="F44" i="1"/>
  <c r="F39" i="1"/>
  <c r="F43" i="1" s="1"/>
  <c r="D44" i="1"/>
  <c r="D41" i="1"/>
  <c r="D39" i="1" s="1"/>
  <c r="D43" i="1" s="1"/>
  <c r="C44" i="1"/>
  <c r="C39" i="1"/>
  <c r="C43" i="1" s="1"/>
  <c r="E19" i="1" l="1"/>
  <c r="E12" i="1"/>
  <c r="B37" i="1"/>
  <c r="B11" i="1" l="1"/>
  <c r="E11" i="1" s="1"/>
  <c r="B29" i="1"/>
  <c r="E29" i="1" s="1"/>
  <c r="E37" i="1"/>
  <c r="E23" i="1"/>
  <c r="E20" i="1" l="1"/>
  <c r="B41" i="1"/>
  <c r="E41" i="1" s="1"/>
  <c r="B27" i="1"/>
  <c r="B40" i="1" l="1"/>
  <c r="E40" i="1" s="1"/>
  <c r="E27" i="1"/>
  <c r="B21" i="1"/>
  <c r="E21" i="1" s="1"/>
  <c r="B39" i="1" l="1"/>
  <c r="E39" i="1" s="1"/>
  <c r="B44" i="1"/>
  <c r="E44" i="1" s="1"/>
  <c r="B43" i="1" l="1"/>
  <c r="E43" i="1" s="1"/>
</calcChain>
</file>

<file path=xl/sharedStrings.xml><?xml version="1.0" encoding="utf-8"?>
<sst xmlns="http://schemas.openxmlformats.org/spreadsheetml/2006/main" count="56" uniqueCount="54">
  <si>
    <t>TỔNG CÔNG TY</t>
  </si>
  <si>
    <t>CỘNG HÒA XÃ HỘI CHỦ NGHĨA VIỆT NAM</t>
  </si>
  <si>
    <t xml:space="preserve">ĐIỆN LỰC TP HỒ CHÍ MINH </t>
  </si>
  <si>
    <t>Độc lập - Tự do - Hạnh phúc</t>
  </si>
  <si>
    <t>CÔNG TY ĐIỆN LỰC VŨNG TÀU</t>
  </si>
  <si>
    <t>BẢNG TỔNG HỢP QUYẾT TOÁN KINH PHÍ SỬA CHỮA LỚN</t>
  </si>
  <si>
    <t>NGƯỜI LẬP BIỂU</t>
  </si>
  <si>
    <t>GIÁM ĐỐC</t>
  </si>
  <si>
    <t>Nội dung chi phí</t>
  </si>
  <si>
    <t>Ghi chú</t>
  </si>
  <si>
    <t>1- Chi phí vật liệu</t>
  </si>
  <si>
    <t>2- Chi phí nhân công</t>
  </si>
  <si>
    <t>IV- Chi phí Dự phòng</t>
  </si>
  <si>
    <t>Hoàng Minh Tuấn</t>
  </si>
  <si>
    <t>Nguyễn Ngọc Tuyến</t>
  </si>
  <si>
    <t xml:space="preserve">                                   Vũng Tàu, ngày      tháng       năm 2026</t>
  </si>
  <si>
    <t xml:space="preserve">Tổng Dự toán </t>
  </si>
  <si>
    <t>I- Chi phí thiết bị, vật tư (sau thuế)</t>
  </si>
  <si>
    <t>3- Chi phí máy thi công</t>
  </si>
  <si>
    <t>4- Chi phí chung</t>
  </si>
  <si>
    <t>5- Thu nhập chịu thuế tính trước</t>
  </si>
  <si>
    <t>1- Chi phí Lập khảo sát, Lập PAKT-DT</t>
  </si>
  <si>
    <t>2- Chi phí giám sát công trình</t>
  </si>
  <si>
    <t>3- Chi phí bảo hiểm công trình</t>
  </si>
  <si>
    <t>VI- Giá trị VTTB thu hồi</t>
  </si>
  <si>
    <t>VII- Tổng giá trị dự toán (V-VI)</t>
  </si>
  <si>
    <t>Dự toán</t>
  </si>
  <si>
    <t>Quyết toán</t>
  </si>
  <si>
    <t>Dự toán PS tăng</t>
  </si>
  <si>
    <t>Dự toán PS giảm</t>
  </si>
  <si>
    <t>Hà Thị Mai Hiên</t>
  </si>
  <si>
    <t>KẾ TOÁN TRƯỞNG</t>
  </si>
  <si>
    <t>3 - Chi phí thiết bị, vật tư (trước thuế)</t>
  </si>
  <si>
    <t>4- Thuế GTGT</t>
  </si>
  <si>
    <t>6- Giá trị sửa chữa trước thuế</t>
  </si>
  <si>
    <t>7- Thuế GTGT</t>
  </si>
  <si>
    <t>II- Chi phí sửa chữa (Sau thuế)</t>
  </si>
  <si>
    <t>III- Chi phí khác (Sau thuế)</t>
  </si>
  <si>
    <t>6- Chi phí khác trước thuế</t>
  </si>
  <si>
    <t>2. Thuế GTGT</t>
  </si>
  <si>
    <t>1. Giá trị dự toán trước thuế</t>
  </si>
  <si>
    <t>V- Giá trị dự toán (không tính VTTH) (I+II+III+IV) Sau thuế</t>
  </si>
  <si>
    <t>VIII- Tổng chi phí sửa chữa lớn (V.1-VI)</t>
  </si>
  <si>
    <t xml:space="preserve"> - Thiết bị mua trong nước</t>
  </si>
  <si>
    <t xml:space="preserve"> - Chi phí tháo dỡ, lắp đặt, thí nghiệm, hiệu chỉnh</t>
  </si>
  <si>
    <t xml:space="preserve"> - Chi phí vận chuyển</t>
  </si>
  <si>
    <t xml:space="preserve"> - Giá trị vật tư</t>
  </si>
  <si>
    <t>1- Chi phí thiết bị (trước thuế)</t>
  </si>
  <si>
    <t>2- Chi phí vật tư (trước thuế)</t>
  </si>
  <si>
    <t>Tên công trình: Sửa chữa nhà đặt máy phát điện, nhà máy An Hội, Đặc khu Côn Đảo</t>
  </si>
  <si>
    <t>Mã Công Trình: VTAD2607001</t>
  </si>
  <si>
    <t>4- Chi phí thẩm tra thiết kế</t>
  </si>
  <si>
    <t>5- Chi phí thẩm tra dự toán</t>
  </si>
  <si>
    <t>5- Chi phí thẩm tra phê duyệt quyết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</si>
</sst>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9"/>
      <name val="VNI-Avo"/>
      <family val="2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>
      <alignment vertical="top"/>
    </xf>
    <xf numFmtId="0" fontId="14" fillId="0" borderId="0"/>
  </cellStyleXfs>
  <cellXfs count="62">
    <xf numFmtId="0" fontId="0" fillId="0" borderId="0" xfId="0"/>
    <xf numFmtId="0" fontId="7" fillId="0" borderId="1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>
      <alignment horizontal="right" vertical="center"/>
    </xf>
    <xf numFmtId="164" fontId="7" fillId="0" borderId="1" xfId="1" applyNumberFormat="1" applyFont="1" applyFill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1" applyNumberFormat="1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1" applyNumberFormat="1" applyFont="1" applyAlignment="1">
      <alignment horizontal="right" vertical="center"/>
    </xf>
    <xf numFmtId="0" fontId="8" fillId="0" borderId="0" xfId="1" applyNumberFormat="1" applyFont="1" applyAlignment="1">
      <alignment horizontal="right" vertical="center"/>
    </xf>
    <xf numFmtId="0" fontId="10" fillId="0" borderId="0" xfId="1" applyNumberFormat="1" applyFont="1" applyAlignment="1">
      <alignment vertical="center"/>
    </xf>
    <xf numFmtId="0" fontId="10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1" applyNumberFormat="1" applyFont="1" applyAlignment="1">
      <alignment horizontal="center" vertical="center" wrapText="1"/>
    </xf>
    <xf numFmtId="0" fontId="10" fillId="0" borderId="0" xfId="1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8" fillId="0" borderId="0" xfId="1" applyNumberFormat="1" applyFont="1" applyFill="1" applyAlignment="1">
      <alignment vertical="center"/>
    </xf>
    <xf numFmtId="0" fontId="10" fillId="0" borderId="0" xfId="1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0" borderId="0" xfId="1" applyNumberFormat="1" applyFont="1" applyBorder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0" fillId="0" borderId="0" xfId="1" applyNumberFormat="1" applyFont="1" applyAlignment="1"/>
    <xf numFmtId="0" fontId="4" fillId="0" borderId="0" xfId="0" applyFont="1" applyAlignment="1">
      <alignment horizontal="left"/>
    </xf>
    <xf numFmtId="0" fontId="4" fillId="0" borderId="0" xfId="1" applyNumberFormat="1" applyFont="1"/>
    <xf numFmtId="0" fontId="8" fillId="0" borderId="0" xfId="1" applyNumberFormat="1" applyFont="1"/>
    <xf numFmtId="0" fontId="4" fillId="0" borderId="0" xfId="1" applyNumberFormat="1" applyFont="1" applyBorder="1" applyAlignment="1">
      <alignment vertical="center"/>
    </xf>
    <xf numFmtId="0" fontId="8" fillId="0" borderId="0" xfId="1" applyNumberFormat="1" applyFont="1" applyBorder="1" applyAlignment="1">
      <alignment vertical="center"/>
    </xf>
    <xf numFmtId="0" fontId="13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7" fillId="0" borderId="1" xfId="2" applyFont="1" applyBorder="1" applyAlignment="1">
      <alignment horizontal="left" vertical="center"/>
    </xf>
    <xf numFmtId="164" fontId="4" fillId="0" borderId="0" xfId="1" applyNumberFormat="1" applyFont="1" applyAlignment="1">
      <alignment vertical="center"/>
    </xf>
    <xf numFmtId="164" fontId="8" fillId="0" borderId="0" xfId="1" applyNumberFormat="1" applyFont="1" applyFill="1" applyAlignment="1">
      <alignment vertical="center"/>
    </xf>
    <xf numFmtId="164" fontId="10" fillId="0" borderId="0" xfId="1" applyNumberFormat="1" applyFont="1" applyFill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1" xfId="1" applyNumberFormat="1" applyFont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5" fillId="2" borderId="1" xfId="3" applyFont="1" applyFill="1" applyBorder="1" applyAlignment="1">
      <alignment vertical="center"/>
    </xf>
    <xf numFmtId="164" fontId="0" fillId="0" borderId="0" xfId="1" applyNumberFormat="1" applyFo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1" applyNumberFormat="1" applyFont="1" applyAlignment="1">
      <alignment horizontal="center" vertical="center"/>
    </xf>
  </cellXfs>
  <cellStyles count="4">
    <cellStyle name="Comma" xfId="1" builtinId="3"/>
    <cellStyle name="Normal" xfId="0" builtinId="0"/>
    <cellStyle name="Normal 3 8" xfId="2" xr:uid="{A5C43540-EC2F-473E-940C-B7005C625CB2}"/>
    <cellStyle name="Normal_Tong hop" xfId="3" xr:uid="{1D4C7542-AD7B-4324-BA07-48C66F6F0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77E6-BA00-40FB-8D4B-DB12DF051776}">
  <sheetPr codeName="Sheet1">
    <pageSetUpPr fitToPage="1"/>
  </sheetPr>
  <dimension ref="A1:I59"/>
  <sheetViews>
    <sheetView tabSelected="1" topLeftCell="A19" workbookViewId="0">
      <selection activeCell="J19" sqref="J19"/>
    </sheetView>
  </sheetViews>
  <sheetFormatPr defaultColWidth="9.69921875" defaultRowHeight="15.6"/>
  <cols>
    <col min="1" max="1" width="53.09765625" style="10" bestFit="1" customWidth="1"/>
    <col min="2" max="2" width="22.296875" style="7" customWidth="1"/>
    <col min="3" max="3" width="18.8984375" style="7" hidden="1" customWidth="1"/>
    <col min="4" max="4" width="20.09765625" style="7" hidden="1" customWidth="1"/>
    <col min="5" max="5" width="22.09765625" style="7" hidden="1" customWidth="1"/>
    <col min="6" max="6" width="28.69921875" style="41" customWidth="1"/>
    <col min="7" max="7" width="7.5" style="41" bestFit="1" customWidth="1"/>
    <col min="8" max="8" width="18.09765625" style="12" bestFit="1" customWidth="1"/>
    <col min="9" max="9" width="16" style="7" customWidth="1"/>
    <col min="10" max="10" width="14.8984375" style="7" bestFit="1" customWidth="1"/>
    <col min="11" max="16384" width="9.69921875" style="7"/>
  </cols>
  <sheetData>
    <row r="1" spans="1:8">
      <c r="A1" s="5" t="s">
        <v>0</v>
      </c>
      <c r="B1" s="57" t="s">
        <v>1</v>
      </c>
      <c r="C1" s="57"/>
      <c r="D1" s="57"/>
      <c r="E1" s="57"/>
      <c r="F1" s="57"/>
      <c r="G1" s="57"/>
      <c r="H1" s="6"/>
    </row>
    <row r="2" spans="1:8">
      <c r="A2" s="5" t="s">
        <v>2</v>
      </c>
      <c r="B2" s="57" t="s">
        <v>3</v>
      </c>
      <c r="C2" s="57"/>
      <c r="D2" s="57"/>
      <c r="E2" s="57"/>
      <c r="F2" s="57"/>
      <c r="G2" s="57"/>
      <c r="H2" s="6"/>
    </row>
    <row r="3" spans="1:8">
      <c r="A3" s="8" t="s">
        <v>4</v>
      </c>
      <c r="B3" s="58"/>
      <c r="C3" s="58"/>
      <c r="D3" s="58"/>
      <c r="E3" s="58"/>
      <c r="F3" s="58"/>
      <c r="G3" s="58"/>
      <c r="H3" s="9"/>
    </row>
    <row r="4" spans="1:8">
      <c r="B4" s="56" t="s">
        <v>15</v>
      </c>
      <c r="C4" s="56"/>
      <c r="D4" s="56"/>
      <c r="E4" s="56"/>
      <c r="F4" s="56"/>
      <c r="G4" s="56"/>
    </row>
    <row r="5" spans="1:8" ht="10.95" customHeight="1">
      <c r="B5" s="13"/>
      <c r="C5" s="13"/>
      <c r="D5" s="13"/>
      <c r="E5" s="13"/>
      <c r="F5" s="14"/>
      <c r="G5" s="14"/>
      <c r="H5" s="15"/>
    </row>
    <row r="6" spans="1:8" ht="17.399999999999999">
      <c r="A6" s="60" t="s">
        <v>5</v>
      </c>
      <c r="B6" s="60"/>
      <c r="C6" s="60"/>
      <c r="D6" s="60"/>
      <c r="E6" s="60"/>
      <c r="F6" s="60"/>
      <c r="G6" s="60"/>
      <c r="H6" s="16"/>
    </row>
    <row r="7" spans="1:8" ht="16.8">
      <c r="A7" s="59" t="s">
        <v>49</v>
      </c>
      <c r="B7" s="59"/>
      <c r="C7" s="59"/>
      <c r="D7" s="59"/>
      <c r="E7" s="59"/>
      <c r="F7" s="59"/>
      <c r="G7" s="59"/>
      <c r="H7" s="17"/>
    </row>
    <row r="8" spans="1:8" ht="16.8">
      <c r="A8" s="59" t="s">
        <v>50</v>
      </c>
      <c r="B8" s="59"/>
      <c r="C8" s="59"/>
      <c r="D8" s="59"/>
      <c r="E8" s="59"/>
      <c r="F8" s="59"/>
      <c r="G8" s="59"/>
      <c r="H8" s="17"/>
    </row>
    <row r="9" spans="1:8" ht="10.199999999999999" customHeight="1">
      <c r="A9" s="18"/>
      <c r="B9" s="18"/>
      <c r="C9" s="18"/>
      <c r="D9" s="18"/>
      <c r="E9" s="18"/>
      <c r="F9" s="19"/>
      <c r="G9" s="19"/>
      <c r="H9" s="20"/>
    </row>
    <row r="10" spans="1:8">
      <c r="A10" s="21" t="s">
        <v>8</v>
      </c>
      <c r="B10" s="21" t="s">
        <v>26</v>
      </c>
      <c r="C10" s="21" t="s">
        <v>28</v>
      </c>
      <c r="D10" s="21" t="s">
        <v>29</v>
      </c>
      <c r="E10" s="21" t="s">
        <v>16</v>
      </c>
      <c r="F10" s="22" t="s">
        <v>27</v>
      </c>
      <c r="G10" s="22" t="s">
        <v>9</v>
      </c>
    </row>
    <row r="11" spans="1:8">
      <c r="A11" s="23" t="s">
        <v>17</v>
      </c>
      <c r="B11" s="42">
        <f>B19+B20</f>
        <v>0</v>
      </c>
      <c r="C11" s="42">
        <f>C19+C20</f>
        <v>0</v>
      </c>
      <c r="D11" s="42">
        <f>D19+D20</f>
        <v>0</v>
      </c>
      <c r="E11" s="3">
        <f>B11+C11-D11</f>
        <v>0</v>
      </c>
      <c r="F11" s="42">
        <f>F19+F20</f>
        <v>0</v>
      </c>
      <c r="G11" s="1"/>
      <c r="H11" s="24"/>
    </row>
    <row r="12" spans="1:8" s="26" customFormat="1">
      <c r="A12" s="44" t="s">
        <v>47</v>
      </c>
      <c r="B12" s="42">
        <f>B13+B14+B15</f>
        <v>0</v>
      </c>
      <c r="C12" s="42">
        <f>C13+C15</f>
        <v>0</v>
      </c>
      <c r="D12" s="42">
        <f>D13+D15</f>
        <v>0</v>
      </c>
      <c r="E12" s="3">
        <f t="shared" ref="E12:E44" si="0">B12+C12-D12</f>
        <v>0</v>
      </c>
      <c r="F12" s="42">
        <f>F13+F14+F15</f>
        <v>0</v>
      </c>
      <c r="G12" s="1"/>
      <c r="H12" s="25"/>
    </row>
    <row r="13" spans="1:8">
      <c r="A13" s="45" t="s">
        <v>43</v>
      </c>
      <c r="B13" s="43"/>
      <c r="C13" s="43"/>
      <c r="D13" s="43"/>
      <c r="E13" s="3">
        <f t="shared" si="0"/>
        <v>0</v>
      </c>
      <c r="F13" s="43"/>
      <c r="G13" s="2"/>
      <c r="H13" s="24"/>
    </row>
    <row r="14" spans="1:8">
      <c r="A14" s="45" t="s">
        <v>44</v>
      </c>
      <c r="B14" s="43"/>
      <c r="C14" s="43"/>
      <c r="D14" s="43"/>
      <c r="E14" s="4">
        <f t="shared" si="0"/>
        <v>0</v>
      </c>
      <c r="F14" s="43"/>
      <c r="G14" s="2"/>
      <c r="H14" s="24"/>
    </row>
    <row r="15" spans="1:8">
      <c r="A15" s="45" t="s">
        <v>45</v>
      </c>
      <c r="B15" s="43"/>
      <c r="C15" s="43"/>
      <c r="D15" s="43"/>
      <c r="E15" s="4">
        <f t="shared" si="0"/>
        <v>0</v>
      </c>
      <c r="F15" s="43"/>
      <c r="G15" s="2"/>
      <c r="H15" s="24"/>
    </row>
    <row r="16" spans="1:8">
      <c r="A16" s="44" t="s">
        <v>48</v>
      </c>
      <c r="B16" s="42">
        <f>B17+B18</f>
        <v>0</v>
      </c>
      <c r="C16" s="43"/>
      <c r="D16" s="43"/>
      <c r="E16" s="3">
        <f t="shared" si="0"/>
        <v>0</v>
      </c>
      <c r="F16" s="43"/>
      <c r="G16" s="2"/>
      <c r="H16" s="24"/>
    </row>
    <row r="17" spans="1:9" ht="16.8">
      <c r="A17" s="54" t="s">
        <v>46</v>
      </c>
      <c r="B17" s="43"/>
      <c r="C17" s="43"/>
      <c r="D17" s="43"/>
      <c r="E17" s="4">
        <f t="shared" si="0"/>
        <v>0</v>
      </c>
      <c r="F17" s="43"/>
      <c r="G17" s="2"/>
      <c r="H17" s="24"/>
    </row>
    <row r="18" spans="1:9" ht="16.8">
      <c r="A18" s="54" t="s">
        <v>45</v>
      </c>
      <c r="B18" s="43"/>
      <c r="C18" s="43"/>
      <c r="D18" s="43"/>
      <c r="E18" s="4">
        <f t="shared" si="0"/>
        <v>0</v>
      </c>
      <c r="F18" s="43"/>
      <c r="G18" s="2"/>
      <c r="H18" s="24"/>
    </row>
    <row r="19" spans="1:9" s="26" customFormat="1">
      <c r="A19" s="23" t="s">
        <v>32</v>
      </c>
      <c r="B19" s="42">
        <f>B12+B16</f>
        <v>0</v>
      </c>
      <c r="C19" s="42">
        <f>C16+C12</f>
        <v>0</v>
      </c>
      <c r="D19" s="42">
        <f>D16+D12</f>
        <v>0</v>
      </c>
      <c r="E19" s="3">
        <f t="shared" si="0"/>
        <v>0</v>
      </c>
      <c r="F19" s="42">
        <f>F16+F12</f>
        <v>0</v>
      </c>
      <c r="G19" s="1"/>
      <c r="H19" s="25"/>
    </row>
    <row r="20" spans="1:9" s="26" customFormat="1">
      <c r="A20" s="44" t="s">
        <v>33</v>
      </c>
      <c r="B20" s="42">
        <f>ROUND(B19*10%,0)</f>
        <v>0</v>
      </c>
      <c r="C20" s="42">
        <f>ROUND(C19*0.08,0)</f>
        <v>0</v>
      </c>
      <c r="D20" s="42">
        <f>ROUND(D19*0.08,0)</f>
        <v>0</v>
      </c>
      <c r="E20" s="3">
        <f t="shared" si="0"/>
        <v>0</v>
      </c>
      <c r="F20" s="42">
        <f>ROUND(F19*0.08,0)</f>
        <v>0</v>
      </c>
      <c r="G20" s="1"/>
      <c r="H20" s="25"/>
    </row>
    <row r="21" spans="1:9">
      <c r="A21" s="23" t="s">
        <v>36</v>
      </c>
      <c r="B21" s="42">
        <f>B27+B28</f>
        <v>882333563</v>
      </c>
      <c r="C21" s="42">
        <f>C27+C28</f>
        <v>0</v>
      </c>
      <c r="D21" s="42">
        <f>D27+D28</f>
        <v>0</v>
      </c>
      <c r="E21" s="3">
        <f t="shared" si="0"/>
        <v>882333563</v>
      </c>
      <c r="F21" s="42">
        <f>F27+F28</f>
        <v>864700959</v>
      </c>
      <c r="G21" s="2"/>
      <c r="H21" s="24"/>
    </row>
    <row r="22" spans="1:9">
      <c r="A22" s="45" t="s">
        <v>10</v>
      </c>
      <c r="B22" s="43">
        <v>464583224</v>
      </c>
      <c r="C22" s="43"/>
      <c r="D22" s="43"/>
      <c r="E22" s="4">
        <f t="shared" si="0"/>
        <v>464583224</v>
      </c>
      <c r="F22" s="43">
        <v>800649036</v>
      </c>
      <c r="G22" s="2"/>
      <c r="H22" s="24"/>
    </row>
    <row r="23" spans="1:9">
      <c r="A23" s="45" t="s">
        <v>11</v>
      </c>
      <c r="B23" s="43">
        <v>223119594</v>
      </c>
      <c r="C23" s="43"/>
      <c r="D23" s="43"/>
      <c r="E23" s="4">
        <f t="shared" si="0"/>
        <v>223119594</v>
      </c>
      <c r="F23" s="43"/>
      <c r="G23" s="2"/>
      <c r="H23" s="24"/>
    </row>
    <row r="24" spans="1:9">
      <c r="A24" s="45" t="s">
        <v>18</v>
      </c>
      <c r="B24" s="43">
        <v>33997443</v>
      </c>
      <c r="C24" s="43"/>
      <c r="D24" s="43"/>
      <c r="E24" s="4">
        <f t="shared" si="0"/>
        <v>33997443</v>
      </c>
      <c r="F24" s="43"/>
      <c r="G24" s="2"/>
      <c r="H24" s="24"/>
    </row>
    <row r="25" spans="1:9">
      <c r="A25" s="45" t="s">
        <v>19</v>
      </c>
      <c r="B25" s="43">
        <v>52684119</v>
      </c>
      <c r="C25" s="43"/>
      <c r="D25" s="43"/>
      <c r="E25" s="4">
        <f t="shared" si="0"/>
        <v>52684119</v>
      </c>
      <c r="F25" s="43"/>
      <c r="G25" s="2"/>
      <c r="H25" s="24"/>
    </row>
    <row r="26" spans="1:9">
      <c r="A26" s="45" t="s">
        <v>20</v>
      </c>
      <c r="B26" s="43">
        <v>42591141</v>
      </c>
      <c r="C26" s="43"/>
      <c r="D26" s="43"/>
      <c r="E26" s="4">
        <f t="shared" si="0"/>
        <v>42591141</v>
      </c>
      <c r="F26" s="43"/>
      <c r="G26" s="2"/>
      <c r="H26" s="24"/>
      <c r="I26" s="53"/>
    </row>
    <row r="27" spans="1:9" s="26" customFormat="1">
      <c r="A27" s="44" t="s">
        <v>34</v>
      </c>
      <c r="B27" s="42">
        <f>B22+B23+B24+B25+B26</f>
        <v>816975521</v>
      </c>
      <c r="C27" s="42">
        <f>C22+C23+C24+C25+C26</f>
        <v>0</v>
      </c>
      <c r="D27" s="42">
        <f>D22+D23+D24+D25+D26</f>
        <v>0</v>
      </c>
      <c r="E27" s="3">
        <f t="shared" si="0"/>
        <v>816975521</v>
      </c>
      <c r="F27" s="42">
        <f>F22+F23+F24+F25+F26</f>
        <v>800649036</v>
      </c>
      <c r="G27" s="1"/>
      <c r="H27" s="25"/>
    </row>
    <row r="28" spans="1:9" s="26" customFormat="1">
      <c r="A28" s="44" t="s">
        <v>35</v>
      </c>
      <c r="B28" s="42">
        <v>65358042</v>
      </c>
      <c r="C28" s="42"/>
      <c r="D28" s="42"/>
      <c r="E28" s="3">
        <f t="shared" si="0"/>
        <v>65358042</v>
      </c>
      <c r="F28" s="42">
        <v>64051923</v>
      </c>
      <c r="G28" s="1"/>
      <c r="H28" s="25"/>
    </row>
    <row r="29" spans="1:9" s="26" customFormat="1">
      <c r="A29" s="23" t="s">
        <v>37</v>
      </c>
      <c r="B29" s="42">
        <f>B36+B37</f>
        <v>103521747</v>
      </c>
      <c r="C29" s="42">
        <f>C36+C37</f>
        <v>0</v>
      </c>
      <c r="D29" s="42">
        <f>D36+D37</f>
        <v>0</v>
      </c>
      <c r="E29" s="3">
        <f t="shared" si="0"/>
        <v>103521747</v>
      </c>
      <c r="F29" s="42">
        <f>F36+F37</f>
        <v>92000000</v>
      </c>
      <c r="G29" s="1"/>
      <c r="H29" s="25"/>
    </row>
    <row r="30" spans="1:9">
      <c r="A30" s="45" t="s">
        <v>21</v>
      </c>
      <c r="B30" s="43">
        <f>ROUND(50000000/1.08,0)</f>
        <v>46296296</v>
      </c>
      <c r="C30" s="43"/>
      <c r="D30" s="43"/>
      <c r="E30" s="3">
        <f t="shared" si="0"/>
        <v>46296296</v>
      </c>
      <c r="F30" s="43">
        <v>46296296</v>
      </c>
      <c r="G30" s="2"/>
      <c r="H30" s="24"/>
    </row>
    <row r="31" spans="1:9">
      <c r="A31" s="45" t="s">
        <v>22</v>
      </c>
      <c r="B31" s="43">
        <f>ROUND(42000000/1.08,0)</f>
        <v>38888889</v>
      </c>
      <c r="C31" s="43"/>
      <c r="D31" s="43"/>
      <c r="E31" s="3">
        <f t="shared" si="0"/>
        <v>38888889</v>
      </c>
      <c r="F31" s="43">
        <v>38888889</v>
      </c>
      <c r="G31" s="2"/>
      <c r="H31" s="24"/>
    </row>
    <row r="32" spans="1:9">
      <c r="A32" s="45" t="s">
        <v>23</v>
      </c>
      <c r="B32" s="43">
        <f>ROUND(970567/1.08,0)</f>
        <v>898673</v>
      </c>
      <c r="C32" s="43"/>
      <c r="D32" s="43"/>
      <c r="E32" s="3">
        <f t="shared" si="0"/>
        <v>898673</v>
      </c>
      <c r="F32" s="43"/>
      <c r="G32" s="2"/>
      <c r="H32" s="24"/>
    </row>
    <row r="33" spans="1:8">
      <c r="A33" s="45" t="s">
        <v>51</v>
      </c>
      <c r="B33" s="43">
        <f>ROUND(2276421/1.08,0)</f>
        <v>2107797</v>
      </c>
      <c r="C33" s="43"/>
      <c r="D33" s="43"/>
      <c r="E33" s="3">
        <f t="shared" si="0"/>
        <v>2107797</v>
      </c>
      <c r="F33" s="43"/>
      <c r="G33" s="2"/>
      <c r="H33" s="24"/>
    </row>
    <row r="34" spans="1:8">
      <c r="A34" s="45" t="s">
        <v>52</v>
      </c>
      <c r="B34" s="43">
        <f>ROUND(2205834/1.08,0)</f>
        <v>2042439</v>
      </c>
      <c r="C34" s="43"/>
      <c r="D34" s="43"/>
      <c r="E34" s="3">
        <f t="shared" si="0"/>
        <v>2042439</v>
      </c>
      <c r="F34" s="43"/>
      <c r="G34" s="2"/>
      <c r="H34" s="24"/>
    </row>
    <row r="35" spans="1:8">
      <c r="A35" s="45" t="s">
        <v>53</v>
      </c>
      <c r="B35" s="43">
        <f>ROUND(6068925/1.08,0)</f>
        <v>5619375</v>
      </c>
      <c r="C35" s="43"/>
      <c r="D35" s="43"/>
      <c r="E35" s="3">
        <f t="shared" si="0"/>
        <v>5619375</v>
      </c>
      <c r="F35" s="43"/>
      <c r="G35" s="2"/>
      <c r="H35" s="24"/>
    </row>
    <row r="36" spans="1:8" s="26" customFormat="1">
      <c r="A36" s="44" t="s">
        <v>38</v>
      </c>
      <c r="B36" s="42">
        <f>SUM(B30:B35)</f>
        <v>95853469</v>
      </c>
      <c r="C36" s="42">
        <f>SUM(C30:C35)</f>
        <v>0</v>
      </c>
      <c r="D36" s="42">
        <f>SUM(D30:D35)</f>
        <v>0</v>
      </c>
      <c r="E36" s="3">
        <f t="shared" si="0"/>
        <v>95853469</v>
      </c>
      <c r="F36" s="42">
        <f>SUM(F30:F35)</f>
        <v>85185185</v>
      </c>
      <c r="G36" s="1"/>
      <c r="H36" s="25"/>
    </row>
    <row r="37" spans="1:8" s="26" customFormat="1">
      <c r="A37" s="44" t="s">
        <v>35</v>
      </c>
      <c r="B37" s="42">
        <f>ROUND(B36*0.08,0)</f>
        <v>7668278</v>
      </c>
      <c r="C37" s="42">
        <f>ROUND(C36*0.08,0)</f>
        <v>0</v>
      </c>
      <c r="D37" s="42">
        <f>ROUND(D36*0.08,0)</f>
        <v>0</v>
      </c>
      <c r="E37" s="3">
        <f t="shared" si="0"/>
        <v>7668278</v>
      </c>
      <c r="F37" s="42">
        <f>ROUND(F36*0.08,0)</f>
        <v>6814815</v>
      </c>
      <c r="G37" s="1"/>
      <c r="H37" s="25"/>
    </row>
    <row r="38" spans="1:8">
      <c r="A38" s="23" t="s">
        <v>12</v>
      </c>
      <c r="B38" s="42">
        <v>49292765</v>
      </c>
      <c r="C38" s="42"/>
      <c r="D38" s="42"/>
      <c r="E38" s="3">
        <f t="shared" si="0"/>
        <v>49292765</v>
      </c>
      <c r="F38" s="42"/>
      <c r="G38" s="2"/>
      <c r="H38" s="24"/>
    </row>
    <row r="39" spans="1:8">
      <c r="A39" s="23" t="s">
        <v>41</v>
      </c>
      <c r="B39" s="42">
        <f>B40+B41</f>
        <v>1035148075</v>
      </c>
      <c r="C39" s="42">
        <f>C40+C41</f>
        <v>0</v>
      </c>
      <c r="D39" s="42">
        <f>D40+D41</f>
        <v>0</v>
      </c>
      <c r="E39" s="3">
        <f t="shared" si="0"/>
        <v>1035148075</v>
      </c>
      <c r="F39" s="42">
        <f>F40+F41</f>
        <v>956700959</v>
      </c>
      <c r="G39" s="2"/>
      <c r="H39" s="24"/>
    </row>
    <row r="40" spans="1:8">
      <c r="A40" s="46" t="s">
        <v>40</v>
      </c>
      <c r="B40" s="42">
        <f>B19+B27+B36+B38</f>
        <v>962121755</v>
      </c>
      <c r="C40" s="42">
        <f>C19+C27+C36+C38</f>
        <v>0</v>
      </c>
      <c r="D40" s="42">
        <f>D19+D27+D36+D38</f>
        <v>0</v>
      </c>
      <c r="E40" s="3">
        <f t="shared" si="0"/>
        <v>962121755</v>
      </c>
      <c r="F40" s="42">
        <f>F19+F27+F36+F38</f>
        <v>885834221</v>
      </c>
      <c r="G40" s="2"/>
      <c r="H40" s="48"/>
    </row>
    <row r="41" spans="1:8">
      <c r="A41" s="46" t="s">
        <v>39</v>
      </c>
      <c r="B41" s="42">
        <f>B20+B28+B37</f>
        <v>73026320</v>
      </c>
      <c r="C41" s="42">
        <f>C20+C28+C37</f>
        <v>0</v>
      </c>
      <c r="D41" s="42">
        <f>D20+D28+D37</f>
        <v>0</v>
      </c>
      <c r="E41" s="3">
        <f t="shared" si="0"/>
        <v>73026320</v>
      </c>
      <c r="F41" s="42">
        <f>F20+F28+F37</f>
        <v>70866738</v>
      </c>
      <c r="G41" s="2"/>
      <c r="H41" s="24"/>
    </row>
    <row r="42" spans="1:8" s="26" customFormat="1">
      <c r="A42" s="23" t="s">
        <v>24</v>
      </c>
      <c r="B42" s="42">
        <v>443108</v>
      </c>
      <c r="C42" s="42"/>
      <c r="D42" s="42"/>
      <c r="E42" s="3">
        <f t="shared" si="0"/>
        <v>443108</v>
      </c>
      <c r="F42" s="42">
        <v>28952694</v>
      </c>
      <c r="G42" s="1"/>
      <c r="H42" s="49"/>
    </row>
    <row r="43" spans="1:8">
      <c r="A43" s="46" t="s">
        <v>25</v>
      </c>
      <c r="B43" s="42">
        <f>B39-B42</f>
        <v>1034704967</v>
      </c>
      <c r="C43" s="42">
        <f>C39-C42</f>
        <v>0</v>
      </c>
      <c r="D43" s="42">
        <f>D39-D42</f>
        <v>0</v>
      </c>
      <c r="E43" s="3">
        <f t="shared" si="0"/>
        <v>1034704967</v>
      </c>
      <c r="F43" s="42">
        <f>F39-F42</f>
        <v>927748265</v>
      </c>
      <c r="G43" s="2"/>
      <c r="H43" s="24"/>
    </row>
    <row r="44" spans="1:8">
      <c r="A44" s="50" t="s">
        <v>42</v>
      </c>
      <c r="B44" s="42">
        <f>B40-B42</f>
        <v>961678647</v>
      </c>
      <c r="C44" s="42">
        <f>C40-C42</f>
        <v>0</v>
      </c>
      <c r="D44" s="42">
        <f>D40-D42</f>
        <v>0</v>
      </c>
      <c r="E44" s="3">
        <f t="shared" si="0"/>
        <v>961678647</v>
      </c>
      <c r="F44" s="42">
        <f>F40-F42</f>
        <v>856881527</v>
      </c>
      <c r="G44" s="51"/>
      <c r="H44" s="52"/>
    </row>
    <row r="45" spans="1:8">
      <c r="F45" s="47"/>
    </row>
    <row r="46" spans="1:8">
      <c r="A46" s="27"/>
      <c r="B46" s="28"/>
      <c r="C46" s="28"/>
      <c r="D46" s="28"/>
      <c r="E46" s="28"/>
      <c r="F46" s="29"/>
      <c r="G46" s="29"/>
    </row>
    <row r="47" spans="1:8" s="30" customFormat="1">
      <c r="A47" s="11" t="s">
        <v>6</v>
      </c>
      <c r="B47" s="56" t="s">
        <v>31</v>
      </c>
      <c r="C47" s="56"/>
      <c r="D47" s="56"/>
      <c r="E47" s="61" t="s">
        <v>7</v>
      </c>
      <c r="F47" s="61"/>
      <c r="G47" s="61"/>
      <c r="H47" s="16"/>
    </row>
    <row r="48" spans="1:8" s="30" customFormat="1">
      <c r="A48" s="31"/>
      <c r="B48" s="32"/>
      <c r="C48" s="32"/>
      <c r="D48" s="32"/>
      <c r="E48" s="33"/>
      <c r="F48" s="56"/>
      <c r="G48" s="56"/>
      <c r="H48" s="34"/>
    </row>
    <row r="49" spans="1:8" s="30" customFormat="1">
      <c r="A49" s="35"/>
      <c r="B49" s="31"/>
      <c r="C49" s="31"/>
      <c r="D49" s="31"/>
      <c r="F49" s="36"/>
      <c r="G49" s="36"/>
      <c r="H49" s="37"/>
    </row>
    <row r="50" spans="1:8" s="30" customFormat="1">
      <c r="A50" s="31"/>
      <c r="B50" s="31"/>
      <c r="C50" s="31"/>
      <c r="D50" s="31"/>
      <c r="F50" s="36"/>
      <c r="G50" s="36"/>
      <c r="H50" s="37"/>
    </row>
    <row r="51" spans="1:8" s="30" customFormat="1">
      <c r="A51" s="31"/>
      <c r="B51" s="31"/>
      <c r="C51" s="31"/>
      <c r="D51" s="31"/>
      <c r="F51" s="36"/>
      <c r="G51" s="36"/>
      <c r="H51" s="37"/>
    </row>
    <row r="52" spans="1:8" s="30" customFormat="1">
      <c r="A52" s="31"/>
      <c r="B52" s="31"/>
      <c r="C52" s="31"/>
      <c r="D52" s="31"/>
      <c r="F52" s="36"/>
      <c r="G52" s="36"/>
      <c r="H52" s="37"/>
    </row>
    <row r="53" spans="1:8" s="30" customFormat="1">
      <c r="A53" s="11" t="s">
        <v>13</v>
      </c>
      <c r="B53" s="56" t="s">
        <v>30</v>
      </c>
      <c r="C53" s="56"/>
      <c r="D53" s="56"/>
      <c r="E53" s="61" t="s">
        <v>14</v>
      </c>
      <c r="F53" s="61"/>
      <c r="G53" s="61"/>
      <c r="H53" s="16"/>
    </row>
    <row r="54" spans="1:8">
      <c r="F54" s="38"/>
      <c r="G54" s="38"/>
      <c r="H54" s="39"/>
    </row>
    <row r="59" spans="1:8">
      <c r="B59" s="40"/>
      <c r="C59" s="40"/>
      <c r="D59" s="40"/>
      <c r="E59" s="40"/>
    </row>
  </sheetData>
  <mergeCells count="12">
    <mergeCell ref="B47:D47"/>
    <mergeCell ref="B53:D53"/>
    <mergeCell ref="F48:G48"/>
    <mergeCell ref="B1:G1"/>
    <mergeCell ref="B2:G2"/>
    <mergeCell ref="B3:G3"/>
    <mergeCell ref="A8:G8"/>
    <mergeCell ref="B4:G4"/>
    <mergeCell ref="A6:G6"/>
    <mergeCell ref="A7:G7"/>
    <mergeCell ref="E47:G47"/>
    <mergeCell ref="E53:G53"/>
  </mergeCells>
  <printOptions horizontalCentered="1"/>
  <pageMargins left="0.25" right="0.25" top="0.25" bottom="0.25" header="0.31496062992126" footer="0.31496062992126"/>
  <pageSetup paperSize="9" scale="83" fitToHeight="0" orientation="portrait" verticalDpi="0" r:id="rId1"/>
  <ignoredErrors>
    <ignoredError sqref="E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D112-AB2A-4799-848C-D89BC72C27CB}">
  <dimension ref="K1"/>
  <sheetViews>
    <sheetView workbookViewId="0">
      <selection activeCell="N24" sqref="N24"/>
    </sheetView>
  </sheetViews>
  <sheetFormatPr defaultRowHeight="15.6"/>
  <cols>
    <col min="4" max="4" width="14.59765625" bestFit="1" customWidth="1"/>
    <col min="5" max="5" width="9.8984375" bestFit="1" customWidth="1"/>
    <col min="11" max="11" width="13.8984375" style="5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Tách VTTB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cp:lastPrinted>2026-10-27T09:49:47Z</cp:lastPrinted>
  <dcterms:created xsi:type="dcterms:W3CDTF">2026-06-23T07:49:49Z</dcterms:created>
  <dcterms:modified xsi:type="dcterms:W3CDTF">2026-10-27T09:50:41Z</dcterms:modified>
</cp:coreProperties>
</file>